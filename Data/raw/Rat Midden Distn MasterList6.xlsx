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activeX/activeX2.xml" ContentType="application/vnd.ms-office.activeX+xml"/>
  <Override PartName="/xl/activeX/activeX1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L1PEPF0002207B\EXCELCNV\cdb5b028-6bd3-4ad4-84a8-859aaa171e2b\"/>
    </mc:Choice>
  </mc:AlternateContent>
  <xr:revisionPtr revIDLastSave="0" documentId="8_{C09AD854-D4FA-47C7-90EE-2D7506F84F4E}" xr6:coauthVersionLast="47" xr6:coauthVersionMax="47" xr10:uidLastSave="{00000000-0000-0000-0000-000000000000}"/>
  <bookViews>
    <workbookView xWindow="-60" yWindow="-60" windowWidth="15480" windowHeight="11640" firstSheet="10" activeTab="10" xr2:uid="{66956982-BEF0-4018-9C34-41FB0D6BB1F3}"/>
  </bookViews>
  <sheets>
    <sheet name="L_Middens" sheetId="14" r:id="rId1"/>
    <sheet name="Lapicalis" sheetId="3" r:id="rId2"/>
    <sheet name="Lconditor" sheetId="4" r:id="rId3"/>
    <sheet name="DistributionChart" sheetId="7" r:id="rId4"/>
    <sheet name="Separate Distribution" sheetId="12" r:id="rId5"/>
    <sheet name="Separate_Data" sheetId="8" r:id="rId6"/>
    <sheet name="NPC NT" sheetId="11" r:id="rId7"/>
    <sheet name="FossilMiddens" sheetId="13" r:id="rId8"/>
    <sheet name="all records" sheetId="1" r:id="rId9"/>
    <sheet name="Sheet1" sheetId="15" r:id="rId10"/>
    <sheet name="SHaRED" sheetId="16" r:id="rId11"/>
  </sheets>
  <definedNames>
    <definedName name="_xlnm.Database">'all records'!$A$1:$D$52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9" i="16"/>
  <c r="C88" i="16"/>
  <c r="C93" i="16"/>
  <c r="C96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200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62" i="16"/>
  <c r="C264" i="16"/>
  <c r="C265" i="16"/>
  <c r="C266" i="16"/>
  <c r="C267" i="16"/>
  <c r="C269" i="16"/>
  <c r="C270" i="16"/>
  <c r="C271" i="16"/>
  <c r="C272" i="16"/>
  <c r="C273" i="16"/>
  <c r="C274" i="16"/>
  <c r="C275" i="16"/>
  <c r="C276" i="16"/>
  <c r="C277" i="16"/>
  <c r="C278" i="16"/>
  <c r="C280" i="16"/>
  <c r="C288" i="16"/>
  <c r="C296" i="16"/>
  <c r="C304" i="16"/>
  <c r="C305" i="16"/>
  <c r="C306" i="16"/>
  <c r="C307" i="16"/>
  <c r="C308" i="16"/>
  <c r="C309" i="16"/>
  <c r="C310" i="16"/>
  <c r="C311" i="16"/>
  <c r="C312" i="16"/>
  <c r="C320" i="16"/>
  <c r="C323" i="16"/>
  <c r="C324" i="16"/>
  <c r="C326" i="16"/>
  <c r="C327" i="16"/>
  <c r="C328" i="16"/>
  <c r="C329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60" i="16"/>
  <c r="C368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412" i="16"/>
  <c r="C413" i="16"/>
  <c r="C414" i="16"/>
  <c r="C415" i="16"/>
  <c r="C416" i="16"/>
  <c r="C417" i="16"/>
  <c r="C418" i="16"/>
  <c r="C419" i="16"/>
  <c r="C420" i="16"/>
  <c r="C421" i="16"/>
  <c r="C422" i="16"/>
  <c r="C424" i="16"/>
  <c r="C432" i="16"/>
  <c r="C440" i="16"/>
  <c r="C448" i="16"/>
  <c r="C454" i="16"/>
  <c r="C456" i="16"/>
  <c r="C460" i="16"/>
  <c r="C2" i="16"/>
  <c r="E459" i="16"/>
  <c r="D459" i="16"/>
  <c r="A459" i="16"/>
  <c r="C459" i="16"/>
  <c r="E458" i="16"/>
  <c r="D458" i="16"/>
  <c r="A458" i="16"/>
  <c r="C458" i="16"/>
  <c r="E457" i="16"/>
  <c r="D457" i="16"/>
  <c r="A457" i="16"/>
  <c r="C457" i="16"/>
  <c r="E456" i="16"/>
  <c r="D456" i="16"/>
  <c r="A456" i="16"/>
  <c r="E455" i="16"/>
  <c r="D455" i="16"/>
  <c r="A455" i="16"/>
  <c r="C455" i="16"/>
  <c r="E454" i="16"/>
  <c r="D454" i="16"/>
  <c r="A454" i="16"/>
  <c r="E453" i="16"/>
  <c r="D453" i="16"/>
  <c r="A453" i="16"/>
  <c r="C453" i="16"/>
  <c r="E452" i="16"/>
  <c r="D452" i="16"/>
  <c r="A452" i="16"/>
  <c r="C452" i="16"/>
  <c r="E451" i="16"/>
  <c r="D451" i="16"/>
  <c r="A451" i="16"/>
  <c r="C451" i="16"/>
  <c r="E450" i="16"/>
  <c r="D450" i="16"/>
  <c r="A450" i="16"/>
  <c r="C450" i="16"/>
  <c r="E449" i="16"/>
  <c r="D449" i="16"/>
  <c r="A449" i="16"/>
  <c r="C449" i="16"/>
  <c r="E448" i="16"/>
  <c r="D448" i="16"/>
  <c r="A448" i="16"/>
  <c r="E447" i="16"/>
  <c r="D447" i="16"/>
  <c r="A447" i="16"/>
  <c r="C447" i="16"/>
  <c r="E446" i="16"/>
  <c r="D446" i="16"/>
  <c r="A446" i="16"/>
  <c r="C446" i="16"/>
  <c r="E445" i="16"/>
  <c r="D445" i="16"/>
  <c r="A445" i="16"/>
  <c r="C445" i="16"/>
  <c r="E444" i="16"/>
  <c r="D444" i="16"/>
  <c r="A444" i="16"/>
  <c r="C444" i="16"/>
  <c r="E443" i="16"/>
  <c r="D443" i="16"/>
  <c r="A443" i="16"/>
  <c r="C443" i="16"/>
  <c r="E442" i="16"/>
  <c r="D442" i="16"/>
  <c r="A442" i="16"/>
  <c r="C442" i="16"/>
  <c r="E441" i="16"/>
  <c r="D441" i="16"/>
  <c r="A441" i="16"/>
  <c r="C441" i="16"/>
  <c r="E440" i="16"/>
  <c r="D440" i="16"/>
  <c r="A440" i="16"/>
  <c r="E439" i="16"/>
  <c r="D439" i="16"/>
  <c r="A439" i="16"/>
  <c r="C439" i="16"/>
  <c r="E438" i="16"/>
  <c r="D438" i="16"/>
  <c r="A438" i="16"/>
  <c r="C438" i="16"/>
  <c r="E437" i="16"/>
  <c r="D437" i="16"/>
  <c r="A437" i="16"/>
  <c r="C437" i="16"/>
  <c r="E436" i="16"/>
  <c r="D436" i="16"/>
  <c r="A436" i="16"/>
  <c r="C436" i="16"/>
  <c r="E435" i="16"/>
  <c r="D435" i="16"/>
  <c r="A435" i="16"/>
  <c r="C435" i="16"/>
  <c r="E434" i="16"/>
  <c r="D434" i="16"/>
  <c r="A434" i="16"/>
  <c r="C434" i="16"/>
  <c r="E433" i="16"/>
  <c r="D433" i="16"/>
  <c r="A433" i="16"/>
  <c r="C433" i="16"/>
  <c r="E432" i="16"/>
  <c r="D432" i="16"/>
  <c r="A432" i="16"/>
  <c r="E431" i="16"/>
  <c r="D431" i="16"/>
  <c r="A431" i="16"/>
  <c r="C431" i="16"/>
  <c r="E430" i="16"/>
  <c r="D430" i="16"/>
  <c r="A430" i="16"/>
  <c r="C430" i="16"/>
  <c r="E429" i="16"/>
  <c r="D429" i="16"/>
  <c r="A429" i="16"/>
  <c r="C429" i="16"/>
  <c r="E428" i="16"/>
  <c r="D428" i="16"/>
  <c r="A428" i="16"/>
  <c r="C428" i="16"/>
  <c r="E427" i="16"/>
  <c r="D427" i="16"/>
  <c r="A427" i="16"/>
  <c r="C427" i="16"/>
  <c r="E426" i="16"/>
  <c r="D426" i="16"/>
  <c r="A426" i="16"/>
  <c r="C426" i="16"/>
  <c r="E425" i="16"/>
  <c r="D425" i="16"/>
  <c r="A425" i="16"/>
  <c r="C425" i="16"/>
  <c r="E424" i="16"/>
  <c r="D424" i="16"/>
  <c r="A424" i="16"/>
  <c r="E423" i="16"/>
  <c r="D423" i="16"/>
  <c r="A423" i="16"/>
  <c r="C423" i="16"/>
  <c r="E411" i="16"/>
  <c r="D411" i="16"/>
  <c r="A411" i="16"/>
  <c r="C411" i="16"/>
  <c r="E410" i="16"/>
  <c r="D410" i="16"/>
  <c r="A410" i="16"/>
  <c r="C410" i="16"/>
  <c r="E409" i="16"/>
  <c r="D409" i="16"/>
  <c r="A409" i="16"/>
  <c r="C409" i="16"/>
  <c r="E408" i="16"/>
  <c r="D408" i="16"/>
  <c r="A408" i="16"/>
  <c r="C408" i="16"/>
  <c r="E407" i="16"/>
  <c r="D407" i="16"/>
  <c r="A407" i="16"/>
  <c r="C407" i="16"/>
  <c r="E406" i="16"/>
  <c r="D406" i="16"/>
  <c r="A406" i="16"/>
  <c r="C406" i="16"/>
  <c r="E405" i="16"/>
  <c r="D405" i="16"/>
  <c r="A405" i="16"/>
  <c r="C405" i="16"/>
  <c r="E404" i="16"/>
  <c r="D404" i="16"/>
  <c r="A404" i="16"/>
  <c r="C404" i="16"/>
  <c r="E403" i="16"/>
  <c r="D403" i="16"/>
  <c r="A403" i="16"/>
  <c r="C403" i="16"/>
  <c r="E402" i="16"/>
  <c r="D402" i="16"/>
  <c r="A402" i="16"/>
  <c r="C402" i="16"/>
  <c r="E401" i="16"/>
  <c r="D401" i="16"/>
  <c r="A401" i="16"/>
  <c r="C401" i="16"/>
  <c r="E400" i="16"/>
  <c r="D400" i="16"/>
  <c r="A400" i="16"/>
  <c r="C400" i="16"/>
  <c r="E399" i="16"/>
  <c r="D399" i="16"/>
  <c r="A399" i="16"/>
  <c r="C399" i="16"/>
  <c r="E398" i="16"/>
  <c r="D398" i="16"/>
  <c r="A398" i="16"/>
  <c r="C398" i="16"/>
  <c r="E397" i="16"/>
  <c r="D397" i="16"/>
  <c r="A397" i="16"/>
  <c r="C397" i="16"/>
  <c r="E396" i="16"/>
  <c r="D396" i="16"/>
  <c r="A396" i="16"/>
  <c r="C396" i="16"/>
  <c r="E395" i="16"/>
  <c r="D395" i="16"/>
  <c r="A395" i="16"/>
  <c r="C395" i="16"/>
  <c r="E394" i="16"/>
  <c r="D394" i="16"/>
  <c r="A394" i="16"/>
  <c r="C394" i="16"/>
  <c r="E393" i="16"/>
  <c r="D393" i="16"/>
  <c r="A393" i="16"/>
  <c r="C393" i="16"/>
  <c r="E392" i="16"/>
  <c r="D392" i="16"/>
  <c r="A392" i="16"/>
  <c r="C392" i="16"/>
  <c r="E391" i="16"/>
  <c r="D391" i="16"/>
  <c r="A391" i="16"/>
  <c r="C391" i="16"/>
  <c r="E390" i="16"/>
  <c r="D390" i="16"/>
  <c r="A390" i="16"/>
  <c r="C390" i="16"/>
  <c r="E389" i="16"/>
  <c r="D389" i="16"/>
  <c r="A389" i="16"/>
  <c r="C389" i="16"/>
  <c r="E388" i="16"/>
  <c r="D388" i="16"/>
  <c r="A388" i="16"/>
  <c r="C388" i="16"/>
  <c r="E387" i="16"/>
  <c r="D387" i="16"/>
  <c r="A387" i="16"/>
  <c r="C387" i="16"/>
  <c r="E386" i="16"/>
  <c r="D386" i="16"/>
  <c r="A386" i="16"/>
  <c r="C386" i="16"/>
  <c r="E373" i="16"/>
  <c r="D373" i="16"/>
  <c r="A373" i="16"/>
  <c r="C373" i="16"/>
  <c r="E372" i="16"/>
  <c r="D372" i="16"/>
  <c r="A372" i="16"/>
  <c r="C372" i="16"/>
  <c r="E371" i="16"/>
  <c r="D371" i="16"/>
  <c r="A371" i="16"/>
  <c r="C371" i="16"/>
  <c r="E370" i="16"/>
  <c r="D370" i="16"/>
  <c r="A370" i="16"/>
  <c r="C370" i="16"/>
  <c r="E369" i="16"/>
  <c r="D369" i="16"/>
  <c r="A369" i="16"/>
  <c r="C369" i="16"/>
  <c r="E368" i="16"/>
  <c r="D368" i="16"/>
  <c r="A368" i="16"/>
  <c r="E367" i="16"/>
  <c r="D367" i="16"/>
  <c r="A367" i="16"/>
  <c r="C367" i="16"/>
  <c r="E366" i="16"/>
  <c r="D366" i="16"/>
  <c r="A366" i="16"/>
  <c r="C366" i="16"/>
  <c r="E365" i="16"/>
  <c r="D365" i="16"/>
  <c r="A365" i="16"/>
  <c r="C365" i="16"/>
  <c r="E364" i="16"/>
  <c r="D364" i="16"/>
  <c r="A364" i="16"/>
  <c r="C364" i="16"/>
  <c r="E363" i="16"/>
  <c r="D363" i="16"/>
  <c r="A363" i="16"/>
  <c r="C363" i="16"/>
  <c r="E362" i="16"/>
  <c r="D362" i="16"/>
  <c r="A362" i="16"/>
  <c r="C362" i="16"/>
  <c r="E361" i="16"/>
  <c r="D361" i="16"/>
  <c r="A361" i="16"/>
  <c r="C361" i="16"/>
  <c r="E360" i="16"/>
  <c r="D360" i="16"/>
  <c r="A360" i="16"/>
  <c r="E359" i="16"/>
  <c r="D359" i="16"/>
  <c r="A359" i="16"/>
  <c r="C359" i="16"/>
  <c r="E358" i="16"/>
  <c r="D358" i="16"/>
  <c r="A358" i="16"/>
  <c r="C358" i="16"/>
  <c r="E357" i="16"/>
  <c r="D357" i="16"/>
  <c r="A357" i="16"/>
  <c r="C357" i="16"/>
  <c r="E356" i="16"/>
  <c r="D356" i="16"/>
  <c r="A356" i="16"/>
  <c r="C356" i="16"/>
  <c r="E355" i="16"/>
  <c r="D355" i="16"/>
  <c r="A355" i="16"/>
  <c r="C355" i="16"/>
  <c r="E354" i="16"/>
  <c r="D354" i="16"/>
  <c r="A354" i="16"/>
  <c r="C354" i="16"/>
  <c r="E353" i="16"/>
  <c r="D353" i="16"/>
  <c r="A353" i="16"/>
  <c r="C353" i="16"/>
  <c r="E352" i="16"/>
  <c r="D352" i="16"/>
  <c r="A352" i="16"/>
  <c r="E335" i="16"/>
  <c r="D335" i="16"/>
  <c r="A335" i="16"/>
  <c r="C335" i="16"/>
  <c r="E334" i="16"/>
  <c r="D334" i="16"/>
  <c r="A334" i="16"/>
  <c r="C334" i="16"/>
  <c r="E333" i="16"/>
  <c r="D333" i="16"/>
  <c r="A333" i="16"/>
  <c r="C333" i="16"/>
  <c r="E332" i="16"/>
  <c r="D332" i="16"/>
  <c r="A332" i="16"/>
  <c r="C332" i="16"/>
  <c r="E331" i="16"/>
  <c r="D331" i="16"/>
  <c r="A331" i="16"/>
  <c r="C331" i="16"/>
  <c r="E330" i="16"/>
  <c r="D330" i="16"/>
  <c r="A330" i="16"/>
  <c r="C330" i="16"/>
  <c r="E325" i="16"/>
  <c r="D325" i="16"/>
  <c r="A325" i="16"/>
  <c r="C325" i="16"/>
  <c r="E322" i="16"/>
  <c r="D322" i="16"/>
  <c r="A322" i="16"/>
  <c r="C322" i="16"/>
  <c r="E321" i="16"/>
  <c r="D321" i="16"/>
  <c r="A321" i="16"/>
  <c r="C321" i="16"/>
  <c r="E320" i="16"/>
  <c r="D320" i="16"/>
  <c r="A320" i="16"/>
  <c r="E319" i="16"/>
  <c r="D319" i="16"/>
  <c r="A319" i="16"/>
  <c r="C319" i="16"/>
  <c r="E318" i="16"/>
  <c r="D318" i="16"/>
  <c r="A318" i="16"/>
  <c r="C318" i="16"/>
  <c r="E317" i="16"/>
  <c r="D317" i="16"/>
  <c r="A317" i="16"/>
  <c r="C317" i="16"/>
  <c r="E316" i="16"/>
  <c r="D316" i="16"/>
  <c r="A316" i="16"/>
  <c r="C316" i="16"/>
  <c r="E315" i="16"/>
  <c r="D315" i="16"/>
  <c r="A315" i="16"/>
  <c r="C315" i="16"/>
  <c r="E314" i="16"/>
  <c r="D314" i="16"/>
  <c r="A314" i="16"/>
  <c r="C314" i="16"/>
  <c r="E313" i="16"/>
  <c r="D313" i="16"/>
  <c r="A313" i="16"/>
  <c r="C313" i="16"/>
  <c r="E304" i="16"/>
  <c r="D304" i="16"/>
  <c r="A304" i="16"/>
  <c r="E303" i="16"/>
  <c r="D303" i="16"/>
  <c r="A303" i="16"/>
  <c r="C303" i="16"/>
  <c r="E302" i="16"/>
  <c r="D302" i="16"/>
  <c r="A302" i="16"/>
  <c r="C302" i="16"/>
  <c r="E301" i="16"/>
  <c r="D301" i="16"/>
  <c r="A301" i="16"/>
  <c r="C301" i="16"/>
  <c r="E300" i="16"/>
  <c r="D300" i="16"/>
  <c r="A300" i="16"/>
  <c r="C300" i="16"/>
  <c r="E299" i="16"/>
  <c r="D299" i="16"/>
  <c r="A299" i="16"/>
  <c r="C299" i="16"/>
  <c r="E298" i="16"/>
  <c r="D298" i="16"/>
  <c r="A298" i="16"/>
  <c r="C298" i="16"/>
  <c r="E297" i="16"/>
  <c r="D297" i="16"/>
  <c r="A297" i="16"/>
  <c r="C297" i="16"/>
  <c r="E296" i="16"/>
  <c r="D296" i="16"/>
  <c r="A296" i="16"/>
  <c r="E295" i="16"/>
  <c r="D295" i="16"/>
  <c r="A295" i="16"/>
  <c r="C295" i="16"/>
  <c r="E294" i="16"/>
  <c r="D294" i="16"/>
  <c r="A294" i="16"/>
  <c r="C294" i="16"/>
  <c r="E293" i="16"/>
  <c r="D293" i="16"/>
  <c r="A293" i="16"/>
  <c r="C293" i="16"/>
  <c r="E292" i="16"/>
  <c r="D292" i="16"/>
  <c r="A292" i="16"/>
  <c r="C292" i="16"/>
  <c r="E291" i="16"/>
  <c r="D291" i="16"/>
  <c r="A291" i="16"/>
  <c r="C291" i="16"/>
  <c r="E290" i="16"/>
  <c r="D290" i="16"/>
  <c r="A290" i="16"/>
  <c r="C290" i="16"/>
  <c r="E289" i="16"/>
  <c r="D289" i="16"/>
  <c r="A289" i="16"/>
  <c r="C289" i="16"/>
  <c r="E288" i="16"/>
  <c r="D288" i="16"/>
  <c r="A288" i="16"/>
  <c r="E287" i="16"/>
  <c r="D287" i="16"/>
  <c r="A287" i="16"/>
  <c r="C287" i="16"/>
  <c r="E286" i="16"/>
  <c r="D286" i="16"/>
  <c r="A286" i="16"/>
  <c r="C286" i="16"/>
  <c r="E285" i="16"/>
  <c r="D285" i="16"/>
  <c r="A285" i="16"/>
  <c r="C285" i="16"/>
  <c r="E284" i="16"/>
  <c r="D284" i="16"/>
  <c r="A284" i="16"/>
  <c r="C284" i="16"/>
  <c r="E283" i="16"/>
  <c r="D283" i="16"/>
  <c r="A283" i="16"/>
  <c r="C283" i="16"/>
  <c r="E282" i="16"/>
  <c r="D282" i="16"/>
  <c r="A282" i="16"/>
  <c r="C282" i="16"/>
  <c r="E281" i="16"/>
  <c r="D281" i="16"/>
  <c r="A281" i="16"/>
  <c r="C281" i="16"/>
  <c r="E280" i="16"/>
  <c r="D280" i="16"/>
  <c r="A280" i="16"/>
  <c r="E279" i="16"/>
  <c r="D279" i="16"/>
  <c r="A279" i="16"/>
  <c r="C279" i="16"/>
  <c r="E268" i="16"/>
  <c r="D268" i="16"/>
  <c r="A268" i="16"/>
  <c r="C268" i="16"/>
  <c r="E264" i="16"/>
  <c r="D264" i="16"/>
  <c r="A264" i="16"/>
  <c r="E263" i="16"/>
  <c r="D263" i="16"/>
  <c r="A263" i="16"/>
  <c r="C263" i="16"/>
  <c r="E261" i="16"/>
  <c r="D261" i="16"/>
  <c r="A261" i="16"/>
  <c r="C261" i="16"/>
  <c r="E260" i="16"/>
  <c r="D260" i="16"/>
  <c r="A260" i="16"/>
  <c r="C260" i="16"/>
  <c r="E259" i="16"/>
  <c r="D259" i="16"/>
  <c r="A259" i="16"/>
  <c r="C259" i="16"/>
  <c r="E258" i="16"/>
  <c r="D258" i="16"/>
  <c r="A258" i="16"/>
  <c r="C258" i="16"/>
  <c r="E257" i="16"/>
  <c r="D257" i="16"/>
  <c r="A257" i="16"/>
  <c r="C257" i="16"/>
  <c r="E256" i="16"/>
  <c r="D256" i="16"/>
  <c r="A256" i="16"/>
  <c r="C256" i="16"/>
  <c r="E255" i="16"/>
  <c r="D255" i="16"/>
  <c r="A255" i="16"/>
  <c r="C255" i="16"/>
  <c r="E240" i="16"/>
  <c r="D240" i="16"/>
  <c r="A240" i="16"/>
  <c r="E207" i="16"/>
  <c r="D207" i="16"/>
  <c r="A207" i="16"/>
  <c r="C207" i="16"/>
  <c r="E206" i="16"/>
  <c r="D206" i="16"/>
  <c r="A206" i="16"/>
  <c r="C206" i="16"/>
  <c r="E205" i="16"/>
  <c r="D205" i="16"/>
  <c r="A205" i="16"/>
  <c r="C205" i="16"/>
  <c r="E204" i="16"/>
  <c r="D204" i="16"/>
  <c r="A204" i="16"/>
  <c r="C204" i="16"/>
  <c r="E203" i="16"/>
  <c r="D203" i="16"/>
  <c r="A203" i="16"/>
  <c r="C203" i="16"/>
  <c r="E202" i="16"/>
  <c r="D202" i="16"/>
  <c r="A202" i="16"/>
  <c r="C202" i="16"/>
  <c r="E201" i="16"/>
  <c r="D201" i="16"/>
  <c r="A201" i="16"/>
  <c r="C201" i="16"/>
  <c r="E200" i="16"/>
  <c r="D200" i="16"/>
  <c r="A200" i="16"/>
  <c r="E199" i="16"/>
  <c r="D199" i="16"/>
  <c r="A199" i="16"/>
  <c r="C199" i="16"/>
  <c r="E198" i="16"/>
  <c r="D198" i="16"/>
  <c r="A198" i="16"/>
  <c r="C198" i="16"/>
  <c r="E197" i="16"/>
  <c r="D197" i="16"/>
  <c r="A197" i="16"/>
  <c r="C197" i="16"/>
  <c r="E196" i="16"/>
  <c r="D196" i="16"/>
  <c r="A196" i="16"/>
  <c r="C196" i="16"/>
  <c r="E195" i="16"/>
  <c r="D195" i="16"/>
  <c r="A195" i="16"/>
  <c r="C195" i="16"/>
  <c r="E194" i="16"/>
  <c r="D194" i="16"/>
  <c r="A194" i="16"/>
  <c r="C194" i="16"/>
  <c r="E193" i="16"/>
  <c r="D193" i="16"/>
  <c r="A193" i="16"/>
  <c r="C193" i="16"/>
  <c r="E192" i="16"/>
  <c r="D192" i="16"/>
  <c r="A192" i="16"/>
  <c r="F98" i="16"/>
  <c r="D98" i="16"/>
  <c r="B98" i="16"/>
  <c r="C98" i="16"/>
  <c r="F97" i="16"/>
  <c r="D97" i="16"/>
  <c r="B97" i="16"/>
  <c r="C97" i="16"/>
  <c r="F96" i="16"/>
  <c r="D96" i="16"/>
  <c r="B96" i="16"/>
  <c r="F95" i="16"/>
  <c r="D95" i="16"/>
  <c r="B95" i="16"/>
  <c r="C95" i="16"/>
  <c r="F94" i="16"/>
  <c r="D94" i="16"/>
  <c r="B94" i="16"/>
  <c r="C94" i="16"/>
  <c r="F92" i="16"/>
  <c r="D92" i="16"/>
  <c r="B92" i="16"/>
  <c r="C92" i="16"/>
  <c r="F91" i="16"/>
  <c r="D91" i="16"/>
  <c r="B91" i="16"/>
  <c r="C91" i="16"/>
  <c r="F90" i="16"/>
  <c r="D90" i="16"/>
  <c r="B90" i="16"/>
  <c r="C90" i="16"/>
  <c r="F89" i="16"/>
  <c r="D89" i="16"/>
  <c r="B89" i="16"/>
  <c r="C89" i="16"/>
  <c r="F88" i="16"/>
  <c r="D88" i="16"/>
  <c r="B88" i="16"/>
  <c r="F87" i="16"/>
  <c r="D87" i="16"/>
  <c r="B87" i="16"/>
  <c r="C87" i="16"/>
  <c r="F86" i="16"/>
  <c r="D86" i="16"/>
  <c r="B86" i="16"/>
  <c r="C86" i="16"/>
  <c r="F85" i="16"/>
  <c r="D85" i="16"/>
  <c r="B85" i="16"/>
  <c r="C85" i="16"/>
  <c r="F84" i="16"/>
  <c r="D84" i="16"/>
  <c r="B84" i="16"/>
  <c r="C84" i="16"/>
  <c r="F83" i="16"/>
  <c r="D83" i="16"/>
  <c r="B83" i="16"/>
  <c r="C83" i="16"/>
  <c r="F82" i="16"/>
  <c r="D82" i="16"/>
  <c r="B82" i="16"/>
  <c r="C82" i="16"/>
  <c r="F81" i="16"/>
  <c r="D81" i="16"/>
  <c r="B81" i="16"/>
  <c r="C81" i="16"/>
  <c r="F80" i="16"/>
  <c r="D80" i="16"/>
  <c r="B80" i="16"/>
  <c r="C80" i="16"/>
  <c r="F78" i="16"/>
  <c r="D78" i="16"/>
  <c r="B78" i="16"/>
  <c r="C78" i="16"/>
  <c r="F77" i="16"/>
  <c r="D77" i="16"/>
  <c r="B77" i="16"/>
  <c r="C77" i="16"/>
  <c r="F76" i="16"/>
  <c r="D76" i="16"/>
  <c r="B76" i="16"/>
  <c r="C76" i="16"/>
  <c r="F75" i="16"/>
  <c r="D75" i="16"/>
  <c r="B75" i="16"/>
  <c r="C75" i="16"/>
  <c r="F74" i="16"/>
  <c r="D74" i="16"/>
  <c r="B74" i="16"/>
  <c r="C74" i="16"/>
  <c r="F73" i="16"/>
  <c r="D73" i="16"/>
  <c r="B73" i="16"/>
  <c r="C73" i="16"/>
  <c r="B73" i="1"/>
  <c r="C73" i="1"/>
  <c r="E73" i="1"/>
  <c r="B74" i="1"/>
  <c r="C74" i="1"/>
  <c r="E74" i="1"/>
  <c r="B75" i="1"/>
  <c r="C75" i="1"/>
  <c r="E75" i="1"/>
  <c r="B76" i="1"/>
  <c r="C76" i="1"/>
  <c r="E76" i="1"/>
  <c r="B77" i="1"/>
  <c r="C77" i="1"/>
  <c r="E77" i="1"/>
  <c r="B78" i="1"/>
  <c r="C78" i="1"/>
  <c r="E78" i="1"/>
  <c r="B80" i="1"/>
  <c r="C80" i="1"/>
  <c r="E80" i="1"/>
  <c r="B81" i="1"/>
  <c r="C81" i="1"/>
  <c r="E81" i="1"/>
  <c r="B82" i="1"/>
  <c r="C82" i="1"/>
  <c r="E82" i="1"/>
  <c r="B83" i="1"/>
  <c r="C83" i="1"/>
  <c r="E83" i="1"/>
  <c r="B84" i="1"/>
  <c r="C84" i="1"/>
  <c r="E84" i="1"/>
  <c r="B85" i="1"/>
  <c r="C85" i="1"/>
  <c r="E85" i="1"/>
  <c r="B86" i="1"/>
  <c r="C86" i="1"/>
  <c r="E86" i="1"/>
  <c r="B87" i="1"/>
  <c r="C87" i="1"/>
  <c r="E87" i="1"/>
  <c r="B88" i="1"/>
  <c r="C88" i="1"/>
  <c r="E88" i="1"/>
  <c r="B89" i="1"/>
  <c r="C89" i="1"/>
  <c r="E89" i="1"/>
  <c r="B90" i="1"/>
  <c r="C90" i="1"/>
  <c r="E90" i="1"/>
  <c r="B91" i="1"/>
  <c r="C91" i="1"/>
  <c r="E91" i="1"/>
  <c r="B92" i="1"/>
  <c r="C92" i="1"/>
  <c r="E92" i="1"/>
  <c r="B94" i="1"/>
  <c r="C94" i="1"/>
  <c r="E94" i="1"/>
  <c r="B95" i="1"/>
  <c r="C95" i="1"/>
  <c r="E95" i="1"/>
  <c r="B96" i="1"/>
  <c r="C96" i="1"/>
  <c r="E96" i="1"/>
  <c r="B97" i="1"/>
  <c r="C97" i="1"/>
  <c r="E97" i="1"/>
  <c r="B98" i="1"/>
  <c r="C98" i="1"/>
  <c r="E98" i="1"/>
  <c r="A192" i="1"/>
  <c r="C192" i="1"/>
  <c r="D192" i="1"/>
  <c r="A193" i="1"/>
  <c r="C193" i="1"/>
  <c r="D193" i="1"/>
  <c r="A194" i="1"/>
  <c r="C194" i="1"/>
  <c r="D194" i="1"/>
  <c r="A195" i="1"/>
  <c r="C195" i="1"/>
  <c r="D195" i="1"/>
  <c r="A196" i="1"/>
  <c r="C196" i="1"/>
  <c r="D196" i="1"/>
  <c r="A197" i="1"/>
  <c r="C197" i="1"/>
  <c r="D197" i="1"/>
  <c r="A198" i="1"/>
  <c r="C198" i="1"/>
  <c r="D198" i="1"/>
  <c r="A199" i="1"/>
  <c r="C199" i="1"/>
  <c r="D199" i="1"/>
  <c r="A200" i="1"/>
  <c r="C200" i="1"/>
  <c r="D200" i="1"/>
  <c r="A201" i="1"/>
  <c r="C201" i="1"/>
  <c r="D201" i="1"/>
  <c r="A202" i="1"/>
  <c r="C202" i="1"/>
  <c r="D202" i="1"/>
  <c r="A203" i="1"/>
  <c r="C203" i="1"/>
  <c r="D203" i="1"/>
  <c r="A204" i="1"/>
  <c r="C204" i="1"/>
  <c r="D204" i="1"/>
  <c r="A205" i="1"/>
  <c r="C205" i="1"/>
  <c r="D205" i="1"/>
  <c r="A206" i="1"/>
  <c r="C206" i="1"/>
  <c r="D206" i="1"/>
  <c r="A207" i="1"/>
  <c r="C207" i="1"/>
  <c r="D207" i="1"/>
  <c r="A240" i="1"/>
  <c r="C240" i="1"/>
  <c r="D240" i="1"/>
  <c r="A255" i="1"/>
  <c r="C255" i="1"/>
  <c r="D255" i="1"/>
  <c r="A256" i="1"/>
  <c r="C256" i="1"/>
  <c r="D256" i="1"/>
  <c r="A257" i="1"/>
  <c r="C257" i="1"/>
  <c r="D257" i="1"/>
  <c r="A258" i="1"/>
  <c r="C258" i="1"/>
  <c r="D258" i="1"/>
  <c r="A259" i="1"/>
  <c r="C259" i="1"/>
  <c r="D259" i="1"/>
  <c r="A260" i="1"/>
  <c r="C260" i="1"/>
  <c r="D260" i="1"/>
  <c r="A261" i="1"/>
  <c r="C261" i="1"/>
  <c r="D261" i="1"/>
  <c r="A263" i="1"/>
  <c r="C263" i="1"/>
  <c r="D263" i="1"/>
  <c r="A264" i="1"/>
  <c r="C264" i="1"/>
  <c r="D264" i="1"/>
  <c r="A268" i="1"/>
  <c r="C268" i="1"/>
  <c r="D268" i="1"/>
  <c r="A279" i="1"/>
  <c r="C279" i="1"/>
  <c r="D279" i="1"/>
  <c r="A280" i="1"/>
  <c r="C280" i="1"/>
  <c r="D280" i="1"/>
  <c r="A281" i="1"/>
  <c r="C281" i="1"/>
  <c r="D281" i="1"/>
  <c r="A282" i="1"/>
  <c r="C282" i="1"/>
  <c r="D282" i="1"/>
  <c r="A283" i="1"/>
  <c r="C283" i="1"/>
  <c r="D283" i="1"/>
  <c r="A284" i="1"/>
  <c r="C284" i="1"/>
  <c r="D284" i="1"/>
  <c r="A285" i="1"/>
  <c r="C285" i="1"/>
  <c r="D285" i="1"/>
  <c r="A286" i="1"/>
  <c r="C286" i="1"/>
  <c r="D286" i="1"/>
  <c r="A287" i="1"/>
  <c r="C287" i="1"/>
  <c r="D287" i="1"/>
  <c r="A288" i="1"/>
  <c r="C288" i="1"/>
  <c r="D288" i="1"/>
  <c r="A289" i="1"/>
  <c r="C289" i="1"/>
  <c r="D289" i="1"/>
  <c r="A290" i="1"/>
  <c r="C290" i="1"/>
  <c r="D290" i="1"/>
  <c r="A291" i="1"/>
  <c r="C291" i="1"/>
  <c r="D291" i="1"/>
  <c r="A292" i="1"/>
  <c r="C292" i="1"/>
  <c r="D292" i="1"/>
  <c r="A293" i="1"/>
  <c r="C293" i="1"/>
  <c r="D293" i="1"/>
  <c r="A294" i="1"/>
  <c r="C294" i="1"/>
  <c r="D294" i="1"/>
  <c r="A295" i="1"/>
  <c r="C295" i="1"/>
  <c r="D295" i="1"/>
  <c r="A296" i="1"/>
  <c r="C296" i="1"/>
  <c r="D296" i="1"/>
  <c r="A297" i="1"/>
  <c r="C297" i="1"/>
  <c r="D297" i="1"/>
  <c r="A298" i="1"/>
  <c r="C298" i="1"/>
  <c r="D298" i="1"/>
  <c r="A299" i="1"/>
  <c r="C299" i="1"/>
  <c r="D299" i="1"/>
  <c r="A300" i="1"/>
  <c r="C300" i="1"/>
  <c r="D300" i="1"/>
  <c r="A301" i="1"/>
  <c r="C301" i="1"/>
  <c r="D301" i="1"/>
  <c r="A302" i="1"/>
  <c r="C302" i="1"/>
  <c r="D302" i="1"/>
  <c r="A303" i="1"/>
  <c r="C303" i="1"/>
  <c r="D303" i="1"/>
  <c r="A304" i="1"/>
  <c r="C304" i="1"/>
  <c r="D304" i="1"/>
  <c r="A313" i="1"/>
  <c r="C313" i="1"/>
  <c r="D313" i="1"/>
  <c r="A314" i="1"/>
  <c r="C314" i="1"/>
  <c r="D314" i="1"/>
  <c r="A315" i="1"/>
  <c r="C315" i="1"/>
  <c r="D315" i="1"/>
  <c r="A316" i="1"/>
  <c r="C316" i="1"/>
  <c r="D316" i="1"/>
  <c r="A317" i="1"/>
  <c r="C317" i="1"/>
  <c r="D317" i="1"/>
  <c r="A318" i="1"/>
  <c r="C318" i="1"/>
  <c r="D318" i="1"/>
  <c r="A319" i="1"/>
  <c r="C319" i="1"/>
  <c r="D319" i="1"/>
  <c r="A320" i="1"/>
  <c r="C320" i="1"/>
  <c r="D320" i="1"/>
  <c r="A321" i="1"/>
  <c r="C321" i="1"/>
  <c r="D321" i="1"/>
  <c r="A322" i="1"/>
  <c r="C322" i="1"/>
  <c r="D322" i="1"/>
  <c r="A325" i="1"/>
  <c r="C325" i="1"/>
  <c r="D325" i="1"/>
  <c r="A330" i="1"/>
  <c r="C330" i="1"/>
  <c r="D330" i="1"/>
  <c r="A331" i="1"/>
  <c r="C331" i="1"/>
  <c r="D331" i="1"/>
  <c r="A332" i="1"/>
  <c r="C332" i="1"/>
  <c r="D332" i="1"/>
  <c r="A333" i="1"/>
  <c r="C333" i="1"/>
  <c r="D333" i="1"/>
  <c r="A334" i="1"/>
  <c r="C334" i="1"/>
  <c r="D334" i="1"/>
  <c r="A335" i="1"/>
  <c r="C335" i="1"/>
  <c r="D335" i="1"/>
  <c r="A352" i="1"/>
  <c r="C352" i="1"/>
  <c r="D352" i="1"/>
  <c r="A353" i="1"/>
  <c r="C353" i="1"/>
  <c r="D353" i="1"/>
  <c r="A354" i="1"/>
  <c r="C354" i="1"/>
  <c r="D354" i="1"/>
  <c r="A355" i="1"/>
  <c r="C355" i="1"/>
  <c r="D355" i="1"/>
  <c r="A356" i="1"/>
  <c r="C356" i="1"/>
  <c r="D356" i="1"/>
  <c r="A357" i="1"/>
  <c r="C357" i="1"/>
  <c r="D357" i="1"/>
  <c r="A358" i="1"/>
  <c r="C358" i="1"/>
  <c r="D358" i="1"/>
  <c r="A359" i="1"/>
  <c r="C359" i="1"/>
  <c r="D359" i="1"/>
  <c r="A360" i="1"/>
  <c r="C360" i="1"/>
  <c r="D360" i="1"/>
  <c r="A361" i="1"/>
  <c r="C361" i="1"/>
  <c r="D361" i="1"/>
  <c r="A362" i="1"/>
  <c r="C362" i="1"/>
  <c r="D362" i="1"/>
  <c r="A363" i="1"/>
  <c r="C363" i="1"/>
  <c r="D363" i="1"/>
  <c r="A364" i="1"/>
  <c r="C364" i="1"/>
  <c r="D364" i="1"/>
  <c r="A365" i="1"/>
  <c r="C365" i="1"/>
  <c r="D365" i="1"/>
  <c r="A366" i="1"/>
  <c r="C366" i="1"/>
  <c r="D366" i="1"/>
  <c r="A367" i="1"/>
  <c r="C367" i="1"/>
  <c r="D367" i="1"/>
  <c r="A368" i="1"/>
  <c r="C368" i="1"/>
  <c r="D368" i="1"/>
  <c r="A369" i="1"/>
  <c r="C369" i="1"/>
  <c r="D369" i="1"/>
  <c r="A370" i="1"/>
  <c r="C370" i="1"/>
  <c r="D370" i="1"/>
  <c r="A371" i="1"/>
  <c r="C371" i="1"/>
  <c r="D371" i="1"/>
  <c r="A372" i="1"/>
  <c r="C372" i="1"/>
  <c r="D372" i="1"/>
  <c r="A373" i="1"/>
  <c r="C373" i="1"/>
  <c r="D373" i="1"/>
  <c r="A386" i="1"/>
  <c r="C386" i="1"/>
  <c r="D386" i="1"/>
  <c r="A387" i="1"/>
  <c r="C387" i="1"/>
  <c r="D387" i="1"/>
  <c r="A388" i="1"/>
  <c r="C388" i="1"/>
  <c r="D388" i="1"/>
  <c r="A389" i="1"/>
  <c r="C389" i="1"/>
  <c r="D389" i="1"/>
  <c r="A390" i="1"/>
  <c r="C390" i="1"/>
  <c r="D390" i="1"/>
  <c r="A391" i="1"/>
  <c r="C391" i="1"/>
  <c r="D391" i="1"/>
  <c r="A392" i="1"/>
  <c r="C392" i="1"/>
  <c r="D392" i="1"/>
  <c r="A393" i="1"/>
  <c r="C393" i="1"/>
  <c r="D393" i="1"/>
  <c r="A394" i="1"/>
  <c r="C394" i="1"/>
  <c r="D394" i="1"/>
  <c r="A395" i="1"/>
  <c r="C395" i="1"/>
  <c r="D395" i="1"/>
  <c r="A396" i="1"/>
  <c r="C396" i="1"/>
  <c r="D396" i="1"/>
  <c r="A397" i="1"/>
  <c r="C397" i="1"/>
  <c r="D397" i="1"/>
  <c r="A398" i="1"/>
  <c r="C398" i="1"/>
  <c r="D398" i="1"/>
  <c r="A399" i="1"/>
  <c r="C399" i="1"/>
  <c r="D399" i="1"/>
  <c r="A400" i="1"/>
  <c r="C400" i="1"/>
  <c r="D400" i="1"/>
  <c r="A401" i="1"/>
  <c r="C401" i="1"/>
  <c r="D401" i="1"/>
  <c r="A402" i="1"/>
  <c r="C402" i="1"/>
  <c r="D402" i="1"/>
  <c r="A403" i="1"/>
  <c r="C403" i="1"/>
  <c r="D403" i="1"/>
  <c r="A404" i="1"/>
  <c r="C404" i="1"/>
  <c r="D404" i="1"/>
  <c r="A405" i="1"/>
  <c r="C405" i="1"/>
  <c r="D405" i="1"/>
  <c r="A406" i="1"/>
  <c r="C406" i="1"/>
  <c r="D406" i="1"/>
  <c r="A407" i="1"/>
  <c r="C407" i="1"/>
  <c r="D407" i="1"/>
  <c r="A408" i="1"/>
  <c r="C408" i="1"/>
  <c r="D408" i="1"/>
  <c r="A409" i="1"/>
  <c r="C409" i="1"/>
  <c r="D409" i="1"/>
  <c r="A410" i="1"/>
  <c r="C410" i="1"/>
  <c r="D410" i="1"/>
  <c r="A411" i="1"/>
  <c r="C411" i="1"/>
  <c r="D411" i="1"/>
  <c r="A423" i="1"/>
  <c r="C423" i="1"/>
  <c r="D423" i="1"/>
  <c r="A424" i="1"/>
  <c r="C424" i="1"/>
  <c r="D424" i="1"/>
  <c r="A425" i="1"/>
  <c r="C425" i="1"/>
  <c r="D425" i="1"/>
  <c r="A426" i="1"/>
  <c r="C426" i="1"/>
  <c r="D426" i="1"/>
  <c r="A427" i="1"/>
  <c r="C427" i="1"/>
  <c r="D427" i="1"/>
  <c r="A428" i="1"/>
  <c r="C428" i="1"/>
  <c r="D428" i="1"/>
  <c r="A429" i="1"/>
  <c r="C429" i="1"/>
  <c r="D429" i="1"/>
  <c r="A430" i="1"/>
  <c r="C430" i="1"/>
  <c r="D430" i="1"/>
  <c r="A431" i="1"/>
  <c r="C431" i="1"/>
  <c r="D431" i="1"/>
  <c r="A432" i="1"/>
  <c r="C432" i="1"/>
  <c r="D432" i="1"/>
  <c r="A433" i="1"/>
  <c r="C433" i="1"/>
  <c r="D433" i="1"/>
  <c r="A434" i="1"/>
  <c r="C434" i="1"/>
  <c r="D434" i="1"/>
  <c r="A435" i="1"/>
  <c r="C435" i="1"/>
  <c r="D435" i="1"/>
  <c r="A436" i="1"/>
  <c r="C436" i="1"/>
  <c r="D436" i="1"/>
  <c r="A437" i="1"/>
  <c r="C437" i="1"/>
  <c r="D437" i="1"/>
  <c r="A438" i="1"/>
  <c r="C438" i="1"/>
  <c r="D438" i="1"/>
  <c r="A439" i="1"/>
  <c r="C439" i="1"/>
  <c r="D439" i="1"/>
  <c r="A440" i="1"/>
  <c r="C440" i="1"/>
  <c r="D440" i="1"/>
  <c r="A441" i="1"/>
  <c r="C441" i="1"/>
  <c r="D441" i="1"/>
  <c r="A442" i="1"/>
  <c r="C442" i="1"/>
  <c r="D442" i="1"/>
  <c r="A443" i="1"/>
  <c r="C443" i="1"/>
  <c r="D443" i="1"/>
  <c r="A444" i="1"/>
  <c r="C444" i="1"/>
  <c r="D444" i="1"/>
  <c r="A445" i="1"/>
  <c r="C445" i="1"/>
  <c r="D445" i="1"/>
  <c r="A446" i="1"/>
  <c r="C446" i="1"/>
  <c r="D446" i="1"/>
  <c r="A447" i="1"/>
  <c r="C447" i="1"/>
  <c r="D447" i="1"/>
  <c r="A448" i="1"/>
  <c r="C448" i="1"/>
  <c r="D448" i="1"/>
  <c r="A449" i="1"/>
  <c r="C449" i="1"/>
  <c r="D449" i="1"/>
  <c r="A450" i="1"/>
  <c r="C450" i="1"/>
  <c r="D450" i="1"/>
  <c r="A451" i="1"/>
  <c r="C451" i="1"/>
  <c r="D451" i="1"/>
  <c r="A452" i="1"/>
  <c r="C452" i="1"/>
  <c r="D452" i="1"/>
  <c r="A453" i="1"/>
  <c r="C453" i="1"/>
  <c r="D453" i="1"/>
  <c r="A454" i="1"/>
  <c r="C454" i="1"/>
  <c r="D454" i="1"/>
  <c r="A455" i="1"/>
  <c r="C455" i="1"/>
  <c r="D455" i="1"/>
  <c r="A456" i="1"/>
  <c r="C456" i="1"/>
  <c r="D456" i="1"/>
  <c r="A457" i="1"/>
  <c r="C457" i="1"/>
  <c r="D457" i="1"/>
  <c r="A458" i="1"/>
  <c r="C458" i="1"/>
  <c r="D458" i="1"/>
  <c r="A459" i="1"/>
  <c r="C459" i="1"/>
  <c r="D459" i="1"/>
  <c r="C1" i="14"/>
  <c r="D1" i="14"/>
  <c r="A2" i="14"/>
  <c r="C2" i="14"/>
  <c r="D2" i="14"/>
  <c r="A3" i="14"/>
  <c r="C3" i="14"/>
  <c r="D3" i="14"/>
  <c r="A4" i="14"/>
  <c r="C4" i="14"/>
  <c r="D4" i="14"/>
  <c r="A5" i="14"/>
  <c r="C5" i="14"/>
  <c r="D5" i="14"/>
  <c r="A6" i="14"/>
  <c r="C6" i="14"/>
  <c r="D6" i="14"/>
  <c r="A7" i="14"/>
  <c r="C7" i="14"/>
  <c r="D7" i="14"/>
  <c r="A8" i="14"/>
  <c r="C8" i="14"/>
  <c r="D8" i="14"/>
  <c r="A9" i="14"/>
  <c r="C9" i="14"/>
  <c r="D9" i="14"/>
  <c r="A10" i="14"/>
  <c r="C10" i="14"/>
  <c r="D10" i="14"/>
  <c r="A11" i="14"/>
  <c r="C11" i="14"/>
  <c r="D11" i="14"/>
  <c r="A12" i="14"/>
  <c r="C12" i="14"/>
  <c r="D12" i="14"/>
  <c r="A13" i="14"/>
  <c r="C13" i="14"/>
  <c r="D13" i="14"/>
  <c r="A14" i="14"/>
  <c r="C14" i="14"/>
  <c r="D14" i="14"/>
  <c r="A15" i="14"/>
  <c r="C15" i="14"/>
  <c r="D15" i="14"/>
  <c r="A16" i="14"/>
  <c r="C16" i="14"/>
  <c r="D16" i="14"/>
  <c r="A17" i="14"/>
  <c r="C17" i="14"/>
  <c r="D17" i="14"/>
  <c r="A18" i="14"/>
  <c r="C18" i="14"/>
  <c r="D18" i="14"/>
  <c r="A19" i="14"/>
  <c r="C19" i="14"/>
  <c r="D19" i="14"/>
  <c r="A20" i="14"/>
  <c r="C20" i="14"/>
  <c r="D20" i="14"/>
  <c r="A21" i="14"/>
  <c r="C21" i="14"/>
  <c r="D21" i="14"/>
  <c r="A22" i="14"/>
  <c r="C22" i="14"/>
  <c r="D22" i="14"/>
  <c r="A23" i="14"/>
  <c r="C23" i="14"/>
  <c r="D23" i="14"/>
  <c r="A24" i="14"/>
  <c r="C24" i="14"/>
  <c r="D24" i="14"/>
  <c r="A25" i="14"/>
  <c r="C25" i="14"/>
  <c r="D25" i="14"/>
  <c r="A26" i="14"/>
  <c r="C26" i="14"/>
  <c r="D26" i="14"/>
  <c r="A27" i="14"/>
  <c r="C27" i="14"/>
  <c r="D27" i="14"/>
  <c r="A28" i="14"/>
  <c r="C28" i="14"/>
  <c r="D28" i="14"/>
  <c r="A29" i="14"/>
  <c r="C29" i="14"/>
  <c r="D29" i="14"/>
  <c r="A30" i="14"/>
  <c r="C30" i="14"/>
  <c r="D30" i="14"/>
  <c r="A31" i="14"/>
  <c r="C31" i="14"/>
  <c r="D31" i="14"/>
  <c r="A32" i="14"/>
  <c r="C32" i="14"/>
  <c r="D32" i="14"/>
  <c r="A33" i="14"/>
  <c r="C33" i="14"/>
  <c r="D33" i="14"/>
  <c r="A34" i="14"/>
  <c r="C34" i="14"/>
  <c r="D34" i="14"/>
  <c r="A35" i="14"/>
  <c r="C35" i="14"/>
  <c r="D35" i="14"/>
  <c r="A36" i="14"/>
  <c r="C36" i="14"/>
  <c r="D36" i="14"/>
  <c r="A37" i="14"/>
  <c r="C37" i="14"/>
  <c r="D37" i="14"/>
  <c r="A38" i="14"/>
  <c r="C38" i="14"/>
  <c r="D38" i="14"/>
  <c r="A39" i="14"/>
  <c r="C39" i="14"/>
  <c r="D39" i="14"/>
  <c r="A40" i="14"/>
  <c r="C40" i="14"/>
  <c r="D40" i="14"/>
  <c r="A41" i="14"/>
  <c r="C41" i="14"/>
  <c r="D41" i="14"/>
  <c r="A42" i="14"/>
  <c r="C42" i="14"/>
  <c r="D42" i="14"/>
  <c r="A43" i="14"/>
  <c r="C43" i="14"/>
  <c r="D43" i="14"/>
  <c r="A44" i="14"/>
  <c r="C44" i="14"/>
  <c r="D44" i="14"/>
  <c r="A45" i="14"/>
  <c r="C45" i="14"/>
  <c r="D45" i="14"/>
  <c r="A46" i="14"/>
  <c r="C46" i="14"/>
  <c r="D46" i="14"/>
  <c r="A47" i="14"/>
  <c r="C47" i="14"/>
  <c r="D47" i="14"/>
  <c r="A48" i="14"/>
  <c r="C48" i="14"/>
  <c r="D48" i="14"/>
  <c r="A49" i="14"/>
  <c r="C49" i="14"/>
  <c r="D49" i="14"/>
  <c r="A50" i="14"/>
  <c r="C50" i="14"/>
  <c r="D50" i="14"/>
  <c r="A51" i="14"/>
  <c r="C51" i="14"/>
  <c r="D51" i="14"/>
  <c r="A52" i="14"/>
  <c r="C52" i="14"/>
  <c r="D52" i="14"/>
  <c r="A53" i="14"/>
  <c r="C53" i="14"/>
  <c r="D53" i="14"/>
  <c r="A54" i="14"/>
  <c r="C54" i="14"/>
  <c r="D54" i="14"/>
  <c r="A55" i="14"/>
  <c r="C55" i="14"/>
  <c r="D55" i="14"/>
  <c r="A56" i="14"/>
  <c r="C56" i="14"/>
  <c r="D56" i="14"/>
  <c r="A57" i="14"/>
  <c r="C57" i="14"/>
  <c r="D57" i="14"/>
  <c r="A58" i="14"/>
  <c r="C58" i="14"/>
  <c r="D58" i="14"/>
  <c r="A59" i="14"/>
  <c r="C59" i="14"/>
  <c r="D59" i="14"/>
  <c r="A60" i="14"/>
  <c r="C60" i="14"/>
  <c r="D60" i="14"/>
  <c r="A61" i="14"/>
  <c r="C61" i="14"/>
  <c r="D61" i="14"/>
  <c r="A62" i="14"/>
  <c r="C62" i="14"/>
  <c r="D62" i="14"/>
  <c r="A63" i="14"/>
  <c r="C63" i="14"/>
  <c r="D63" i="14"/>
  <c r="A64" i="14"/>
  <c r="C64" i="14"/>
  <c r="D64" i="14"/>
  <c r="A65" i="14"/>
  <c r="C65" i="14"/>
  <c r="D65" i="14"/>
  <c r="A66" i="14"/>
  <c r="C66" i="14"/>
  <c r="D66" i="14"/>
  <c r="A67" i="14"/>
  <c r="C67" i="14"/>
  <c r="D67" i="14"/>
  <c r="A68" i="14"/>
  <c r="C68" i="14"/>
  <c r="D68" i="14"/>
  <c r="A69" i="14"/>
  <c r="C69" i="14"/>
  <c r="D69" i="14"/>
  <c r="A70" i="14"/>
  <c r="C70" i="14"/>
  <c r="D70" i="14"/>
  <c r="A71" i="14"/>
  <c r="C71" i="14"/>
  <c r="D71" i="14"/>
  <c r="A72" i="14"/>
  <c r="C72" i="14"/>
  <c r="D72" i="14"/>
  <c r="A73" i="14"/>
  <c r="C73" i="14"/>
  <c r="D73" i="14"/>
  <c r="A74" i="14"/>
  <c r="C74" i="14"/>
  <c r="D74" i="14"/>
  <c r="A75" i="14"/>
  <c r="C75" i="14"/>
  <c r="D75" i="14"/>
  <c r="A76" i="14"/>
  <c r="C76" i="14"/>
  <c r="D76" i="14"/>
  <c r="A77" i="14"/>
  <c r="C77" i="14"/>
  <c r="D77" i="14"/>
  <c r="A78" i="14"/>
  <c r="C78" i="14"/>
  <c r="D78" i="14"/>
  <c r="A79" i="14"/>
  <c r="C79" i="14"/>
  <c r="D79" i="14"/>
  <c r="A80" i="14"/>
  <c r="C80" i="14"/>
  <c r="D80" i="14"/>
  <c r="A81" i="14"/>
  <c r="C81" i="14"/>
  <c r="D81" i="14"/>
  <c r="A82" i="14"/>
  <c r="C82" i="14"/>
  <c r="D82" i="14"/>
  <c r="A83" i="14"/>
  <c r="C83" i="14"/>
  <c r="D83" i="14"/>
  <c r="A84" i="14"/>
  <c r="C84" i="14"/>
  <c r="D84" i="14"/>
  <c r="A85" i="14"/>
  <c r="C85" i="14"/>
  <c r="D85" i="14"/>
  <c r="A86" i="14"/>
  <c r="C86" i="14"/>
  <c r="D86" i="14"/>
  <c r="A87" i="14"/>
  <c r="C87" i="14"/>
  <c r="D87" i="14"/>
  <c r="A88" i="14"/>
  <c r="C88" i="14"/>
  <c r="D88" i="14"/>
  <c r="A89" i="14"/>
  <c r="C89" i="14"/>
  <c r="D89" i="14"/>
  <c r="A90" i="14"/>
  <c r="C90" i="14"/>
  <c r="D90" i="14"/>
  <c r="A91" i="14"/>
  <c r="C91" i="14"/>
  <c r="D91" i="14"/>
  <c r="A92" i="14"/>
  <c r="C92" i="14"/>
  <c r="D92" i="14"/>
  <c r="A93" i="14"/>
  <c r="C93" i="14"/>
  <c r="D93" i="14"/>
  <c r="A94" i="14"/>
  <c r="C94" i="14"/>
  <c r="D94" i="14"/>
  <c r="A95" i="14"/>
  <c r="C95" i="14"/>
  <c r="D95" i="14"/>
  <c r="A96" i="14"/>
  <c r="C96" i="14"/>
  <c r="D96" i="14"/>
  <c r="A97" i="14"/>
  <c r="C97" i="14"/>
  <c r="D97" i="14"/>
  <c r="A98" i="14"/>
  <c r="C98" i="14"/>
  <c r="D98" i="14"/>
  <c r="A99" i="14"/>
  <c r="C99" i="14"/>
  <c r="D99" i="14"/>
  <c r="A100" i="14"/>
  <c r="C100" i="14"/>
  <c r="D100" i="14"/>
  <c r="A101" i="14"/>
  <c r="C101" i="14"/>
  <c r="D101" i="14"/>
  <c r="A102" i="14"/>
  <c r="C102" i="14"/>
  <c r="D102" i="14"/>
  <c r="A103" i="14"/>
  <c r="C103" i="14"/>
  <c r="D103" i="14"/>
  <c r="A104" i="14"/>
  <c r="C104" i="14"/>
  <c r="D104" i="14"/>
  <c r="A105" i="14"/>
  <c r="C105" i="14"/>
  <c r="D105" i="14"/>
  <c r="A106" i="14"/>
  <c r="C106" i="14"/>
  <c r="D106" i="14"/>
  <c r="A107" i="14"/>
  <c r="C107" i="14"/>
  <c r="D107" i="14"/>
  <c r="A108" i="14"/>
  <c r="C108" i="14"/>
  <c r="D108" i="14"/>
  <c r="A109" i="14"/>
  <c r="C109" i="14"/>
  <c r="D109" i="14"/>
  <c r="A110" i="14"/>
  <c r="C110" i="14"/>
  <c r="D110" i="14"/>
  <c r="A111" i="14"/>
  <c r="C111" i="14"/>
  <c r="D111" i="14"/>
  <c r="A112" i="14"/>
  <c r="C112" i="14"/>
  <c r="D112" i="14"/>
  <c r="A113" i="14"/>
  <c r="C113" i="14"/>
  <c r="D113" i="14"/>
  <c r="A114" i="14"/>
  <c r="C114" i="14"/>
  <c r="D114" i="14"/>
  <c r="A115" i="14"/>
  <c r="C115" i="14"/>
  <c r="D115" i="14"/>
  <c r="A116" i="14"/>
  <c r="C116" i="14"/>
  <c r="D116" i="14"/>
  <c r="A117" i="14"/>
  <c r="C117" i="14"/>
  <c r="D117" i="14"/>
  <c r="A118" i="14"/>
  <c r="C118" i="14"/>
  <c r="D118" i="14"/>
  <c r="A119" i="14"/>
  <c r="C119" i="14"/>
  <c r="D119" i="14"/>
  <c r="A120" i="14"/>
  <c r="C120" i="14"/>
  <c r="D120" i="14"/>
  <c r="A121" i="14"/>
  <c r="C121" i="14"/>
  <c r="D121" i="14"/>
  <c r="A122" i="14"/>
  <c r="C122" i="14"/>
  <c r="D122" i="14"/>
  <c r="A123" i="14"/>
  <c r="C123" i="14"/>
  <c r="D123" i="14"/>
  <c r="A124" i="14"/>
  <c r="C124" i="14"/>
  <c r="D124" i="14"/>
  <c r="A125" i="14"/>
  <c r="C125" i="14"/>
  <c r="D125" i="14"/>
  <c r="A126" i="14"/>
  <c r="C126" i="14"/>
  <c r="D126" i="14"/>
  <c r="A127" i="14"/>
  <c r="C127" i="14"/>
  <c r="D127" i="14"/>
  <c r="A128" i="14"/>
  <c r="C128" i="14"/>
  <c r="D128" i="14"/>
  <c r="A129" i="14"/>
  <c r="C129" i="14"/>
  <c r="D129" i="14"/>
  <c r="A130" i="14"/>
  <c r="C130" i="14"/>
  <c r="D130" i="14"/>
  <c r="A131" i="14"/>
  <c r="C131" i="14"/>
  <c r="D131" i="14"/>
  <c r="A132" i="14"/>
  <c r="C132" i="14"/>
  <c r="D132" i="14"/>
  <c r="A133" i="14"/>
  <c r="C133" i="14"/>
  <c r="D133" i="14"/>
  <c r="A134" i="14"/>
  <c r="C134" i="14"/>
  <c r="D134" i="14"/>
  <c r="A135" i="14"/>
  <c r="C135" i="14"/>
  <c r="D135" i="14"/>
  <c r="A136" i="14"/>
  <c r="C136" i="14"/>
  <c r="D136" i="14"/>
  <c r="A137" i="14"/>
  <c r="C137" i="14"/>
  <c r="D137" i="14"/>
  <c r="A138" i="14"/>
  <c r="C138" i="14"/>
  <c r="D138" i="14"/>
  <c r="A139" i="14"/>
  <c r="C139" i="14"/>
  <c r="D139" i="14"/>
  <c r="A140" i="14"/>
  <c r="C140" i="14"/>
  <c r="D140" i="14"/>
  <c r="A141" i="14"/>
  <c r="C141" i="14"/>
  <c r="D141" i="14"/>
  <c r="A142" i="14"/>
  <c r="C142" i="14"/>
  <c r="D142" i="14"/>
  <c r="A143" i="14"/>
  <c r="C143" i="14"/>
  <c r="D143" i="14"/>
  <c r="A144" i="14"/>
  <c r="C144" i="14"/>
  <c r="D144" i="14"/>
  <c r="A145" i="14"/>
  <c r="C145" i="14"/>
  <c r="D145" i="14"/>
  <c r="A146" i="14"/>
  <c r="C146" i="14"/>
  <c r="D146" i="14"/>
  <c r="A147" i="14"/>
  <c r="C147" i="14"/>
  <c r="D147" i="14"/>
  <c r="A148" i="14"/>
  <c r="C148" i="14"/>
  <c r="D148" i="14"/>
  <c r="A149" i="14"/>
  <c r="C149" i="14"/>
  <c r="D149" i="14"/>
  <c r="A150" i="14"/>
  <c r="C150" i="14"/>
  <c r="D150" i="14"/>
  <c r="A151" i="14"/>
  <c r="C151" i="14"/>
  <c r="D151" i="14"/>
  <c r="A152" i="14"/>
  <c r="C152" i="14"/>
  <c r="D152" i="14"/>
  <c r="A153" i="14"/>
  <c r="C153" i="14"/>
  <c r="D153" i="14"/>
  <c r="A154" i="14"/>
  <c r="C154" i="14"/>
  <c r="D154" i="14"/>
  <c r="A155" i="14"/>
  <c r="C155" i="14"/>
  <c r="D155" i="14"/>
  <c r="B1" i="3"/>
  <c r="C1" i="3"/>
  <c r="E2" i="3"/>
  <c r="W2" i="3"/>
  <c r="E3" i="3"/>
  <c r="W3" i="3"/>
  <c r="E4" i="3"/>
  <c r="W4" i="3"/>
  <c r="E5" i="3"/>
  <c r="W5" i="3"/>
  <c r="E6" i="3"/>
  <c r="W6" i="3"/>
  <c r="E7" i="3"/>
  <c r="W7" i="3"/>
  <c r="E8" i="3"/>
  <c r="W8" i="3"/>
  <c r="E9" i="3"/>
  <c r="W9" i="3"/>
  <c r="E10" i="3"/>
  <c r="W10" i="3"/>
  <c r="E11" i="3"/>
  <c r="W11" i="3"/>
  <c r="E12" i="3"/>
  <c r="W12" i="3"/>
  <c r="E13" i="3"/>
  <c r="W13" i="3"/>
  <c r="E14" i="3"/>
  <c r="W14" i="3"/>
  <c r="E15" i="3"/>
  <c r="W15" i="3"/>
  <c r="E16" i="3"/>
  <c r="W16" i="3"/>
  <c r="E17" i="3"/>
  <c r="W17" i="3"/>
  <c r="E18" i="3"/>
  <c r="W18" i="3"/>
  <c r="E19" i="3"/>
  <c r="W19" i="3"/>
  <c r="E20" i="3"/>
  <c r="W20" i="3"/>
  <c r="E21" i="3"/>
  <c r="W21" i="3"/>
  <c r="E22" i="3"/>
  <c r="W22" i="3"/>
  <c r="E23" i="3"/>
  <c r="W23" i="3"/>
  <c r="E24" i="3"/>
  <c r="W24" i="3"/>
  <c r="E25" i="3"/>
  <c r="W25" i="3"/>
  <c r="E26" i="3"/>
  <c r="W26" i="3"/>
  <c r="E27" i="3"/>
  <c r="W27" i="3"/>
  <c r="E28" i="3"/>
  <c r="W28" i="3"/>
  <c r="E29" i="3"/>
  <c r="W29" i="3"/>
  <c r="E30" i="3"/>
  <c r="W30" i="3"/>
  <c r="E31" i="3"/>
  <c r="W31" i="3"/>
  <c r="E32" i="3"/>
  <c r="W32" i="3"/>
  <c r="E33" i="3"/>
  <c r="W33" i="3"/>
  <c r="E34" i="3"/>
  <c r="W34" i="3"/>
  <c r="E35" i="3"/>
  <c r="W35" i="3"/>
  <c r="E36" i="3"/>
  <c r="W36" i="3"/>
  <c r="E37" i="3"/>
  <c r="W37" i="3"/>
  <c r="E38" i="3"/>
  <c r="W38" i="3"/>
  <c r="E39" i="3"/>
  <c r="W39" i="3"/>
  <c r="D1" i="4"/>
  <c r="E1" i="4"/>
  <c r="G2" i="4"/>
  <c r="Y2" i="4"/>
  <c r="G3" i="4"/>
  <c r="Y3" i="4"/>
  <c r="G4" i="4"/>
  <c r="Y4" i="4"/>
  <c r="G5" i="4"/>
  <c r="Y5" i="4"/>
  <c r="G6" i="4"/>
  <c r="Y6" i="4"/>
  <c r="G7" i="4"/>
  <c r="Y7" i="4"/>
  <c r="G8" i="4"/>
  <c r="Y8" i="4"/>
  <c r="G9" i="4"/>
  <c r="Y9" i="4"/>
  <c r="G10" i="4"/>
  <c r="Y10" i="4"/>
  <c r="G11" i="4"/>
  <c r="Y11" i="4"/>
  <c r="G12" i="4"/>
  <c r="Y12" i="4"/>
  <c r="G13" i="4"/>
  <c r="Y13" i="4"/>
  <c r="G14" i="4"/>
  <c r="Y14" i="4"/>
  <c r="G15" i="4"/>
  <c r="Y15" i="4"/>
  <c r="G16" i="4"/>
  <c r="Y16" i="4"/>
  <c r="G17" i="4"/>
  <c r="Y17" i="4"/>
  <c r="G18" i="4"/>
  <c r="Y18" i="4"/>
  <c r="G19" i="4"/>
  <c r="Y19" i="4"/>
  <c r="G20" i="4"/>
  <c r="Y20" i="4"/>
  <c r="G21" i="4"/>
  <c r="Y21" i="4"/>
  <c r="G22" i="4"/>
  <c r="Y22" i="4"/>
  <c r="G23" i="4"/>
  <c r="Y23" i="4"/>
  <c r="G24" i="4"/>
  <c r="Y24" i="4"/>
  <c r="G25" i="4"/>
  <c r="Y25" i="4"/>
  <c r="G26" i="4"/>
  <c r="Y26" i="4"/>
  <c r="G27" i="4"/>
  <c r="Y27" i="4"/>
  <c r="G28" i="4"/>
  <c r="Y28" i="4"/>
  <c r="G29" i="4"/>
  <c r="Y29" i="4"/>
  <c r="G30" i="4"/>
  <c r="Y30" i="4"/>
  <c r="G31" i="4"/>
  <c r="Y31" i="4"/>
  <c r="G32" i="4"/>
  <c r="Y32" i="4"/>
  <c r="G33" i="4"/>
  <c r="Y33" i="4"/>
  <c r="G34" i="4"/>
  <c r="Y34" i="4"/>
  <c r="G35" i="4"/>
  <c r="Y35" i="4"/>
  <c r="G36" i="4"/>
  <c r="Y36" i="4"/>
  <c r="G37" i="4"/>
  <c r="Y37" i="4"/>
  <c r="G38" i="4"/>
  <c r="Y38" i="4"/>
  <c r="G39" i="4"/>
  <c r="Y39" i="4"/>
  <c r="G40" i="4"/>
  <c r="Y40" i="4"/>
  <c r="G41" i="4"/>
  <c r="Y41" i="4"/>
  <c r="G42" i="4"/>
  <c r="Y42" i="4"/>
  <c r="G43" i="4"/>
  <c r="Y43" i="4"/>
  <c r="G44" i="4"/>
  <c r="Y44" i="4"/>
  <c r="G45" i="4"/>
  <c r="Y45" i="4"/>
  <c r="G46" i="4"/>
  <c r="Y46" i="4"/>
  <c r="G47" i="4"/>
  <c r="Y47" i="4"/>
  <c r="G48" i="4"/>
  <c r="Y48" i="4"/>
  <c r="G49" i="4"/>
  <c r="Y49" i="4"/>
  <c r="G50" i="4"/>
  <c r="Y50" i="4"/>
  <c r="G51" i="4"/>
  <c r="Y51" i="4"/>
  <c r="G52" i="4"/>
  <c r="Y52" i="4"/>
  <c r="G53" i="4"/>
  <c r="Y53" i="4"/>
  <c r="G54" i="4"/>
  <c r="Y54" i="4"/>
  <c r="G55" i="4"/>
  <c r="Y55" i="4"/>
  <c r="G56" i="4"/>
  <c r="Y56" i="4"/>
  <c r="G57" i="4"/>
  <c r="Y57" i="4"/>
  <c r="G58" i="4"/>
  <c r="Y58" i="4"/>
  <c r="G59" i="4"/>
  <c r="Y59" i="4"/>
  <c r="G60" i="4"/>
  <c r="Y60" i="4"/>
  <c r="G61" i="4"/>
  <c r="Y61" i="4"/>
  <c r="G62" i="4"/>
  <c r="Y62" i="4"/>
  <c r="G63" i="4"/>
  <c r="Y63" i="4"/>
  <c r="G64" i="4"/>
  <c r="Y64" i="4"/>
  <c r="G65" i="4"/>
  <c r="Y65" i="4"/>
  <c r="G66" i="4"/>
  <c r="Y66" i="4"/>
  <c r="G67" i="4"/>
  <c r="Y67" i="4"/>
  <c r="G68" i="4"/>
  <c r="Y68" i="4"/>
  <c r="G69" i="4"/>
  <c r="Y69" i="4"/>
  <c r="G70" i="4"/>
  <c r="Y70" i="4"/>
  <c r="G71" i="4"/>
  <c r="Y71" i="4"/>
  <c r="G72" i="4"/>
  <c r="Y72" i="4"/>
  <c r="G73" i="4"/>
  <c r="Y73" i="4"/>
  <c r="G74" i="4"/>
  <c r="Y74" i="4"/>
  <c r="G75" i="4"/>
  <c r="Y75" i="4"/>
  <c r="G76" i="4"/>
  <c r="Y76" i="4"/>
  <c r="G77" i="4"/>
  <c r="Y77" i="4"/>
  <c r="G78" i="4"/>
  <c r="Y78" i="4"/>
  <c r="G79" i="4"/>
  <c r="Y79" i="4"/>
  <c r="G80" i="4"/>
  <c r="Y80" i="4"/>
  <c r="G81" i="4"/>
  <c r="Y81" i="4"/>
  <c r="G82" i="4"/>
  <c r="Y82" i="4"/>
  <c r="G83" i="4"/>
  <c r="Y83" i="4"/>
  <c r="G84" i="4"/>
  <c r="Y84" i="4"/>
  <c r="G85" i="4"/>
  <c r="Y85" i="4"/>
  <c r="G86" i="4"/>
  <c r="Y86" i="4"/>
  <c r="B61" i="8"/>
  <c r="C61" i="8"/>
  <c r="B62" i="8"/>
  <c r="C62" i="8"/>
  <c r="B68" i="8"/>
  <c r="C68" i="8"/>
  <c r="B69" i="8"/>
  <c r="C69" i="8"/>
  <c r="B70" i="8"/>
  <c r="C70" i="8"/>
  <c r="B71" i="8"/>
  <c r="C71" i="8"/>
  <c r="B75" i="8"/>
  <c r="C75" i="8"/>
  <c r="B78" i="8"/>
  <c r="C78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90" i="8"/>
  <c r="C90" i="8"/>
  <c r="B91" i="8"/>
  <c r="C91" i="8"/>
  <c r="B93" i="8"/>
  <c r="C93" i="8"/>
  <c r="B94" i="8"/>
  <c r="C94" i="8"/>
  <c r="B100" i="8"/>
  <c r="C100" i="8"/>
  <c r="B101" i="8"/>
  <c r="C101" i="8"/>
  <c r="B102" i="8"/>
  <c r="C102" i="8"/>
  <c r="A306" i="8"/>
  <c r="C306" i="8"/>
  <c r="F306" i="8"/>
  <c r="A307" i="8"/>
  <c r="C307" i="8"/>
  <c r="F307" i="8"/>
  <c r="A308" i="8"/>
  <c r="C308" i="8"/>
  <c r="F308" i="8"/>
  <c r="A309" i="8"/>
  <c r="C309" i="8"/>
  <c r="F309" i="8"/>
  <c r="A310" i="8"/>
  <c r="C310" i="8"/>
  <c r="F310" i="8"/>
  <c r="A311" i="8"/>
  <c r="C311" i="8"/>
  <c r="F311" i="8"/>
  <c r="A312" i="8"/>
  <c r="C312" i="8"/>
  <c r="F312" i="8"/>
  <c r="A313" i="8"/>
  <c r="C313" i="8"/>
  <c r="F313" i="8"/>
  <c r="A314" i="8"/>
  <c r="C314" i="8"/>
  <c r="F314" i="8"/>
  <c r="A315" i="8"/>
  <c r="C315" i="8"/>
  <c r="F315" i="8"/>
  <c r="A316" i="8"/>
  <c r="C316" i="8"/>
  <c r="F316" i="8"/>
  <c r="A317" i="8"/>
  <c r="C317" i="8"/>
  <c r="F317" i="8"/>
  <c r="A318" i="8"/>
  <c r="C318" i="8"/>
  <c r="F318" i="8"/>
  <c r="A319" i="8"/>
  <c r="C319" i="8"/>
  <c r="F319" i="8"/>
  <c r="A320" i="8"/>
  <c r="C320" i="8"/>
  <c r="F320" i="8"/>
  <c r="A321" i="8"/>
  <c r="C321" i="8"/>
  <c r="F321" i="8"/>
  <c r="A322" i="8"/>
  <c r="C322" i="8"/>
  <c r="F322" i="8"/>
  <c r="A323" i="8"/>
  <c r="C323" i="8"/>
  <c r="F323" i="8"/>
  <c r="A324" i="8"/>
  <c r="C324" i="8"/>
  <c r="F324" i="8"/>
  <c r="A325" i="8"/>
  <c r="C325" i="8"/>
  <c r="F325" i="8"/>
  <c r="A326" i="8"/>
  <c r="C326" i="8"/>
  <c r="F326" i="8"/>
  <c r="A327" i="8"/>
  <c r="C327" i="8"/>
  <c r="F327" i="8"/>
  <c r="A328" i="8"/>
  <c r="C328" i="8"/>
  <c r="F328" i="8"/>
  <c r="A329" i="8"/>
  <c r="C329" i="8"/>
  <c r="F329" i="8"/>
  <c r="A330" i="8"/>
  <c r="C330" i="8"/>
  <c r="F330" i="8"/>
  <c r="A331" i="8"/>
  <c r="C331" i="8"/>
  <c r="F331" i="8"/>
  <c r="A332" i="8"/>
  <c r="C332" i="8"/>
  <c r="F332" i="8"/>
  <c r="A333" i="8"/>
  <c r="C333" i="8"/>
  <c r="F333" i="8"/>
  <c r="A334" i="8"/>
  <c r="C334" i="8"/>
  <c r="F334" i="8"/>
  <c r="A335" i="8"/>
  <c r="C335" i="8"/>
  <c r="F335" i="8"/>
  <c r="A336" i="8"/>
  <c r="C336" i="8"/>
  <c r="F336" i="8"/>
  <c r="A337" i="8"/>
  <c r="C337" i="8"/>
  <c r="F337" i="8"/>
  <c r="A338" i="8"/>
  <c r="C338" i="8"/>
  <c r="F338" i="8"/>
  <c r="A339" i="8"/>
  <c r="C339" i="8"/>
  <c r="F339" i="8"/>
  <c r="A340" i="8"/>
  <c r="C340" i="8"/>
  <c r="F340" i="8"/>
  <c r="A341" i="8"/>
  <c r="C341" i="8"/>
  <c r="F341" i="8"/>
  <c r="A342" i="8"/>
  <c r="C342" i="8"/>
  <c r="F342" i="8"/>
  <c r="A343" i="8"/>
  <c r="C343" i="8"/>
  <c r="F343" i="8"/>
  <c r="A344" i="8"/>
  <c r="C344" i="8"/>
  <c r="F344" i="8"/>
  <c r="A345" i="8"/>
  <c r="C345" i="8"/>
  <c r="F345" i="8"/>
  <c r="A346" i="8"/>
  <c r="C346" i="8"/>
  <c r="F346" i="8"/>
  <c r="A347" i="8"/>
  <c r="C347" i="8"/>
  <c r="F347" i="8"/>
  <c r="A348" i="8"/>
  <c r="C348" i="8"/>
  <c r="F348" i="8"/>
  <c r="A349" i="8"/>
  <c r="C349" i="8"/>
  <c r="F349" i="8"/>
  <c r="A350" i="8"/>
  <c r="C350" i="8"/>
  <c r="F350" i="8"/>
  <c r="A351" i="8"/>
  <c r="C351" i="8"/>
  <c r="F351" i="8"/>
  <c r="A352" i="8"/>
  <c r="C352" i="8"/>
  <c r="F352" i="8"/>
  <c r="A353" i="8"/>
  <c r="C353" i="8"/>
  <c r="F353" i="8"/>
  <c r="A354" i="8"/>
  <c r="C354" i="8"/>
  <c r="F354" i="8"/>
  <c r="A355" i="8"/>
  <c r="C355" i="8"/>
  <c r="F355" i="8"/>
  <c r="A356" i="8"/>
  <c r="C356" i="8"/>
  <c r="F356" i="8"/>
  <c r="A357" i="8"/>
  <c r="C357" i="8"/>
  <c r="F357" i="8"/>
  <c r="A358" i="8"/>
  <c r="C358" i="8"/>
  <c r="F358" i="8"/>
  <c r="A359" i="8"/>
  <c r="C359" i="8"/>
  <c r="F359" i="8"/>
  <c r="A360" i="8"/>
  <c r="C360" i="8"/>
  <c r="F360" i="8"/>
  <c r="A361" i="8"/>
  <c r="C361" i="8"/>
  <c r="F361" i="8"/>
  <c r="A362" i="8"/>
  <c r="C362" i="8"/>
  <c r="F362" i="8"/>
  <c r="A363" i="8"/>
  <c r="C363" i="8"/>
  <c r="F363" i="8"/>
  <c r="A364" i="8"/>
  <c r="C364" i="8"/>
  <c r="F364" i="8"/>
  <c r="A365" i="8"/>
  <c r="C365" i="8"/>
  <c r="F365" i="8"/>
  <c r="A366" i="8"/>
  <c r="C366" i="8"/>
  <c r="F366" i="8"/>
  <c r="A367" i="8"/>
  <c r="C367" i="8"/>
  <c r="F367" i="8"/>
  <c r="A368" i="8"/>
  <c r="C368" i="8"/>
  <c r="F368" i="8"/>
  <c r="A369" i="8"/>
  <c r="C369" i="8"/>
  <c r="F369" i="8"/>
  <c r="A370" i="8"/>
  <c r="C370" i="8"/>
  <c r="F370" i="8"/>
  <c r="A371" i="8"/>
  <c r="C371" i="8"/>
  <c r="F371" i="8"/>
  <c r="A372" i="8"/>
  <c r="C372" i="8"/>
  <c r="F372" i="8"/>
  <c r="A373" i="8"/>
  <c r="C373" i="8"/>
  <c r="F373" i="8"/>
  <c r="A374" i="8"/>
  <c r="C374" i="8"/>
  <c r="F374" i="8"/>
  <c r="A375" i="8"/>
  <c r="C375" i="8"/>
  <c r="F375" i="8"/>
  <c r="A376" i="8"/>
  <c r="C376" i="8"/>
  <c r="F376" i="8"/>
  <c r="A377" i="8"/>
  <c r="C377" i="8"/>
  <c r="F377" i="8"/>
  <c r="A378" i="8"/>
  <c r="C378" i="8"/>
  <c r="F378" i="8"/>
  <c r="A379" i="8"/>
  <c r="C379" i="8"/>
  <c r="F379" i="8"/>
  <c r="A380" i="8"/>
  <c r="C380" i="8"/>
  <c r="F380" i="8"/>
  <c r="A381" i="8"/>
  <c r="C381" i="8"/>
  <c r="F381" i="8"/>
  <c r="A382" i="8"/>
  <c r="C382" i="8"/>
  <c r="F382" i="8"/>
  <c r="A383" i="8"/>
  <c r="C383" i="8"/>
  <c r="F383" i="8"/>
  <c r="A384" i="8"/>
  <c r="C384" i="8"/>
  <c r="F384" i="8"/>
  <c r="A385" i="8"/>
  <c r="C385" i="8"/>
  <c r="F385" i="8"/>
  <c r="A386" i="8"/>
  <c r="C386" i="8"/>
  <c r="F386" i="8"/>
  <c r="A387" i="8"/>
  <c r="C387" i="8"/>
  <c r="F387" i="8"/>
  <c r="A388" i="8"/>
  <c r="C388" i="8"/>
  <c r="F388" i="8"/>
  <c r="A389" i="8"/>
  <c r="C389" i="8"/>
  <c r="F389" i="8"/>
  <c r="A390" i="8"/>
  <c r="C390" i="8"/>
  <c r="F390" i="8"/>
  <c r="A391" i="8"/>
  <c r="C391" i="8"/>
  <c r="F391" i="8"/>
  <c r="A392" i="8"/>
  <c r="C392" i="8"/>
  <c r="F392" i="8"/>
  <c r="A393" i="8"/>
  <c r="C393" i="8"/>
  <c r="F393" i="8"/>
  <c r="A394" i="8"/>
  <c r="C394" i="8"/>
  <c r="F394" i="8"/>
  <c r="A395" i="8"/>
  <c r="C395" i="8"/>
  <c r="F395" i="8"/>
  <c r="A396" i="8"/>
  <c r="C396" i="8"/>
  <c r="F396" i="8"/>
  <c r="A397" i="8"/>
  <c r="C397" i="8"/>
  <c r="F397" i="8"/>
  <c r="A398" i="8"/>
  <c r="C398" i="8"/>
  <c r="F398" i="8"/>
  <c r="A399" i="8"/>
  <c r="C399" i="8"/>
  <c r="F399" i="8"/>
  <c r="A400" i="8"/>
  <c r="C400" i="8"/>
  <c r="F400" i="8"/>
  <c r="A401" i="8"/>
  <c r="C401" i="8"/>
  <c r="F401" i="8"/>
  <c r="A402" i="8"/>
  <c r="C402" i="8"/>
  <c r="F402" i="8"/>
  <c r="A403" i="8"/>
  <c r="C403" i="8"/>
  <c r="F403" i="8"/>
  <c r="A404" i="8"/>
  <c r="C404" i="8"/>
  <c r="F404" i="8"/>
  <c r="A405" i="8"/>
  <c r="C405" i="8"/>
  <c r="F405" i="8"/>
  <c r="A406" i="8"/>
  <c r="C406" i="8"/>
  <c r="F406" i="8"/>
  <c r="A407" i="8"/>
  <c r="C407" i="8"/>
  <c r="F407" i="8"/>
  <c r="A408" i="8"/>
  <c r="C408" i="8"/>
  <c r="F408" i="8"/>
  <c r="A409" i="8"/>
  <c r="C409" i="8"/>
  <c r="F409" i="8"/>
  <c r="A410" i="8"/>
  <c r="C410" i="8"/>
  <c r="F410" i="8"/>
  <c r="A411" i="8"/>
  <c r="C411" i="8"/>
  <c r="F411" i="8"/>
  <c r="A412" i="8"/>
  <c r="C412" i="8"/>
  <c r="F412" i="8"/>
  <c r="A413" i="8"/>
  <c r="C413" i="8"/>
  <c r="F413" i="8"/>
  <c r="A414" i="8"/>
  <c r="C414" i="8"/>
  <c r="F414" i="8"/>
  <c r="A415" i="8"/>
  <c r="C415" i="8"/>
  <c r="F415" i="8"/>
  <c r="A416" i="8"/>
  <c r="C416" i="8"/>
  <c r="F416" i="8"/>
  <c r="A417" i="8"/>
  <c r="C417" i="8"/>
  <c r="F417" i="8"/>
  <c r="A418" i="8"/>
  <c r="C418" i="8"/>
  <c r="F418" i="8"/>
  <c r="A419" i="8"/>
  <c r="C419" i="8"/>
  <c r="F419" i="8"/>
  <c r="A420" i="8"/>
  <c r="C420" i="8"/>
  <c r="F420" i="8"/>
  <c r="A421" i="8"/>
  <c r="C421" i="8"/>
  <c r="F421" i="8"/>
  <c r="A422" i="8"/>
  <c r="C422" i="8"/>
  <c r="F422" i="8"/>
  <c r="A423" i="8"/>
  <c r="C423" i="8"/>
  <c r="F423" i="8"/>
  <c r="A424" i="8"/>
  <c r="C424" i="8"/>
  <c r="F424" i="8"/>
  <c r="A425" i="8"/>
  <c r="C425" i="8"/>
  <c r="F425" i="8"/>
  <c r="A426" i="8"/>
  <c r="C426" i="8"/>
  <c r="F426" i="8"/>
  <c r="A427" i="8"/>
  <c r="C427" i="8"/>
  <c r="F427" i="8"/>
  <c r="A428" i="8"/>
  <c r="C428" i="8"/>
  <c r="F428" i="8"/>
  <c r="A429" i="8"/>
  <c r="C429" i="8"/>
  <c r="F429" i="8"/>
  <c r="A430" i="8"/>
  <c r="C430" i="8"/>
  <c r="F430" i="8"/>
  <c r="A431" i="8"/>
  <c r="C431" i="8"/>
  <c r="F431" i="8"/>
  <c r="A432" i="8"/>
  <c r="C432" i="8"/>
  <c r="F432" i="8"/>
  <c r="A433" i="8"/>
  <c r="C433" i="8"/>
  <c r="F433" i="8"/>
  <c r="A434" i="8"/>
  <c r="C434" i="8"/>
  <c r="F434" i="8"/>
  <c r="A435" i="8"/>
  <c r="C435" i="8"/>
  <c r="F435" i="8"/>
  <c r="A436" i="8"/>
  <c r="C436" i="8"/>
  <c r="F436" i="8"/>
  <c r="A437" i="8"/>
  <c r="C437" i="8"/>
  <c r="F437" i="8"/>
  <c r="A438" i="8"/>
  <c r="C438" i="8"/>
  <c r="F438" i="8"/>
  <c r="A439" i="8"/>
  <c r="C439" i="8"/>
  <c r="F439" i="8"/>
  <c r="A440" i="8"/>
  <c r="C440" i="8"/>
  <c r="F440" i="8"/>
  <c r="A441" i="8"/>
  <c r="C441" i="8"/>
  <c r="F441" i="8"/>
  <c r="A442" i="8"/>
  <c r="C442" i="8"/>
  <c r="F442" i="8"/>
  <c r="A443" i="8"/>
  <c r="C443" i="8"/>
  <c r="F443" i="8"/>
  <c r="A444" i="8"/>
  <c r="C444" i="8"/>
  <c r="F444" i="8"/>
  <c r="A445" i="8"/>
  <c r="C445" i="8"/>
  <c r="F445" i="8"/>
  <c r="A446" i="8"/>
  <c r="C446" i="8"/>
  <c r="F446" i="8"/>
  <c r="A447" i="8"/>
  <c r="C447" i="8"/>
  <c r="F447" i="8"/>
  <c r="A448" i="8"/>
  <c r="C448" i="8"/>
  <c r="F448" i="8"/>
  <c r="A449" i="8"/>
  <c r="C449" i="8"/>
  <c r="F449" i="8"/>
  <c r="A450" i="8"/>
  <c r="C450" i="8"/>
  <c r="F450" i="8"/>
  <c r="A451" i="8"/>
  <c r="C451" i="8"/>
  <c r="F451" i="8"/>
  <c r="A452" i="8"/>
  <c r="C452" i="8"/>
  <c r="F452" i="8"/>
  <c r="A453" i="8"/>
  <c r="C453" i="8"/>
  <c r="F453" i="8"/>
  <c r="A454" i="8"/>
  <c r="C454" i="8"/>
  <c r="F454" i="8"/>
  <c r="A455" i="8"/>
  <c r="C455" i="8"/>
  <c r="F455" i="8"/>
  <c r="A456" i="8"/>
  <c r="C456" i="8"/>
  <c r="F456" i="8"/>
  <c r="A457" i="8"/>
  <c r="C457" i="8"/>
  <c r="F457" i="8"/>
  <c r="A458" i="8"/>
  <c r="C458" i="8"/>
  <c r="F458" i="8"/>
  <c r="A459" i="8"/>
  <c r="C459" i="8"/>
  <c r="F459" i="8"/>
  <c r="A460" i="8"/>
  <c r="C460" i="8"/>
  <c r="F460" i="8"/>
</calcChain>
</file>

<file path=xl/sharedStrings.xml><?xml version="1.0" encoding="utf-8"?>
<sst xmlns="http://schemas.openxmlformats.org/spreadsheetml/2006/main" count="4294" uniqueCount="797">
  <si>
    <t>Identifier</t>
  </si>
  <si>
    <t>Elev (ADEM_1)</t>
  </si>
  <si>
    <t>Elev (9SecDEM)</t>
  </si>
  <si>
    <t>difference</t>
  </si>
  <si>
    <t>Midden1</t>
  </si>
  <si>
    <t>Midden2</t>
  </si>
  <si>
    <t>Midden3</t>
  </si>
  <si>
    <t>Midden4</t>
  </si>
  <si>
    <t>Midden5</t>
  </si>
  <si>
    <t>Midden6</t>
  </si>
  <si>
    <t>Midden7</t>
  </si>
  <si>
    <t>Midden8</t>
  </si>
  <si>
    <t>Midden9</t>
  </si>
  <si>
    <t>Midden10</t>
  </si>
  <si>
    <t>Midden11</t>
  </si>
  <si>
    <t>Midden12</t>
  </si>
  <si>
    <t>Midden13</t>
  </si>
  <si>
    <t>Midden14</t>
  </si>
  <si>
    <t>Midden15</t>
  </si>
  <si>
    <t>Midden16</t>
  </si>
  <si>
    <t>Midden17</t>
  </si>
  <si>
    <t>Midden18</t>
  </si>
  <si>
    <t>Midden19</t>
  </si>
  <si>
    <t>Midden20</t>
  </si>
  <si>
    <t>Midden21</t>
  </si>
  <si>
    <t>Midden22</t>
  </si>
  <si>
    <t>Midden23</t>
  </si>
  <si>
    <t>Midden24</t>
  </si>
  <si>
    <t>Midden25</t>
  </si>
  <si>
    <t>Midden26</t>
  </si>
  <si>
    <t>Midden27</t>
  </si>
  <si>
    <t>Midden28</t>
  </si>
  <si>
    <t>Midden29</t>
  </si>
  <si>
    <t>Midden30</t>
  </si>
  <si>
    <t>Midden31</t>
  </si>
  <si>
    <t>Midden32</t>
  </si>
  <si>
    <t>Midden33</t>
  </si>
  <si>
    <t>Midden34</t>
  </si>
  <si>
    <t>Midden35</t>
  </si>
  <si>
    <t>Midden36</t>
  </si>
  <si>
    <t>Midden37</t>
  </si>
  <si>
    <t>Midden38</t>
  </si>
  <si>
    <t>Midden39</t>
  </si>
  <si>
    <t>Midden40</t>
  </si>
  <si>
    <t>Midden41</t>
  </si>
  <si>
    <t>Midden42</t>
  </si>
  <si>
    <t>Midden43</t>
  </si>
  <si>
    <t>Midden44</t>
  </si>
  <si>
    <t>Midden45</t>
  </si>
  <si>
    <t>Midden46</t>
  </si>
  <si>
    <t>Midden47</t>
  </si>
  <si>
    <t>Midden48</t>
  </si>
  <si>
    <t>Midden49</t>
  </si>
  <si>
    <t>Midden50</t>
  </si>
  <si>
    <t>Midden51</t>
  </si>
  <si>
    <t>Midden52</t>
  </si>
  <si>
    <t>Midden53</t>
  </si>
  <si>
    <t>Midden54</t>
  </si>
  <si>
    <t>Midden55</t>
  </si>
  <si>
    <t>Midden56</t>
  </si>
  <si>
    <t>Midden57</t>
  </si>
  <si>
    <t>Midden58</t>
  </si>
  <si>
    <t>Midden59</t>
  </si>
  <si>
    <t>Midden60</t>
  </si>
  <si>
    <t>Midden61</t>
  </si>
  <si>
    <t>Midden62</t>
  </si>
  <si>
    <t>Midden63</t>
  </si>
  <si>
    <t>Midden64</t>
  </si>
  <si>
    <t>Midden65</t>
  </si>
  <si>
    <t>Midden66</t>
  </si>
  <si>
    <t>Midden67</t>
  </si>
  <si>
    <t>Midden68</t>
  </si>
  <si>
    <t>Midden69</t>
  </si>
  <si>
    <t>Midden70</t>
  </si>
  <si>
    <t>Midden71</t>
  </si>
  <si>
    <t>Midden72</t>
  </si>
  <si>
    <t>Midden73</t>
  </si>
  <si>
    <t>Midden74</t>
  </si>
  <si>
    <t>Midden75</t>
  </si>
  <si>
    <t>Midden76</t>
  </si>
  <si>
    <t>Midden77</t>
  </si>
  <si>
    <t>Midden78</t>
  </si>
  <si>
    <t>Midden79</t>
  </si>
  <si>
    <t>Midden80</t>
  </si>
  <si>
    <t>Midden81</t>
  </si>
  <si>
    <t>Midden82</t>
  </si>
  <si>
    <t>Midden83</t>
  </si>
  <si>
    <t>Midden84</t>
  </si>
  <si>
    <t>Midden85</t>
  </si>
  <si>
    <t>Midden86</t>
  </si>
  <si>
    <t>Midden87</t>
  </si>
  <si>
    <t>Midden88</t>
  </si>
  <si>
    <t>Midden89</t>
  </si>
  <si>
    <t>Midden90</t>
  </si>
  <si>
    <t>Midden91</t>
  </si>
  <si>
    <t>Midden92</t>
  </si>
  <si>
    <t>Midden93</t>
  </si>
  <si>
    <t>Midden94</t>
  </si>
  <si>
    <t>Midden95</t>
  </si>
  <si>
    <t>Midden96</t>
  </si>
  <si>
    <t>Midden97</t>
  </si>
  <si>
    <t>Midden98</t>
  </si>
  <si>
    <t>Midden99</t>
  </si>
  <si>
    <t>Midden100</t>
  </si>
  <si>
    <t>Midden101</t>
  </si>
  <si>
    <t>Midden102</t>
  </si>
  <si>
    <t>Midden103</t>
  </si>
  <si>
    <t>Midden104</t>
  </si>
  <si>
    <t>Midden105</t>
  </si>
  <si>
    <t>Midden106</t>
  </si>
  <si>
    <t>Midden107</t>
  </si>
  <si>
    <t>Midden108</t>
  </si>
  <si>
    <t>Midden109</t>
  </si>
  <si>
    <t>Midden110</t>
  </si>
  <si>
    <t>Midden111</t>
  </si>
  <si>
    <t>Midden112</t>
  </si>
  <si>
    <t>Midden113</t>
  </si>
  <si>
    <t>Midden114</t>
  </si>
  <si>
    <t>Midden115</t>
  </si>
  <si>
    <t>Midden116</t>
  </si>
  <si>
    <t>Midden117</t>
  </si>
  <si>
    <t>Midden118</t>
  </si>
  <si>
    <t>Midden119</t>
  </si>
  <si>
    <t>Midden120</t>
  </si>
  <si>
    <t>Midden121</t>
  </si>
  <si>
    <t>Midden122</t>
  </si>
  <si>
    <t>Midden123</t>
  </si>
  <si>
    <t>Midden124</t>
  </si>
  <si>
    <t>Midden125</t>
  </si>
  <si>
    <t>Midden126</t>
  </si>
  <si>
    <t>Midden127</t>
  </si>
  <si>
    <t>Midden128</t>
  </si>
  <si>
    <t>Midden129</t>
  </si>
  <si>
    <t>Midden130</t>
  </si>
  <si>
    <t>Midden131</t>
  </si>
  <si>
    <t>Midden132</t>
  </si>
  <si>
    <t>Midden133</t>
  </si>
  <si>
    <t>Midden134</t>
  </si>
  <si>
    <t>Midden135</t>
  </si>
  <si>
    <t>Midden136</t>
  </si>
  <si>
    <t>Midden137</t>
  </si>
  <si>
    <t>Midden138</t>
  </si>
  <si>
    <t>Midden139</t>
  </si>
  <si>
    <t>Midden140</t>
  </si>
  <si>
    <t>Midden141</t>
  </si>
  <si>
    <t>Midden142</t>
  </si>
  <si>
    <t>Midden143</t>
  </si>
  <si>
    <t>Midden144</t>
  </si>
  <si>
    <t>Midden145</t>
  </si>
  <si>
    <t>Midden146</t>
  </si>
  <si>
    <t>Midden147</t>
  </si>
  <si>
    <t>Midden148</t>
  </si>
  <si>
    <t>Midden149</t>
  </si>
  <si>
    <t>Midden150</t>
  </si>
  <si>
    <t>Midden151</t>
  </si>
  <si>
    <t>Midden152</t>
  </si>
  <si>
    <t>Midden153</t>
  </si>
  <si>
    <t>Midden154</t>
  </si>
  <si>
    <t>Midden155</t>
  </si>
  <si>
    <t>Cole2000</t>
  </si>
  <si>
    <t>Leporillus midden</t>
  </si>
  <si>
    <t>Leporillus sp.</t>
  </si>
  <si>
    <t>AUSDEM</t>
  </si>
  <si>
    <t>9SECDEM</t>
  </si>
  <si>
    <t>Difference</t>
  </si>
  <si>
    <t>Baynes2002</t>
  </si>
  <si>
    <t>LcBaynes2002</t>
  </si>
  <si>
    <t>Leporillus conditor</t>
  </si>
  <si>
    <t>Lc12708</t>
  </si>
  <si>
    <t>Lc12787</t>
  </si>
  <si>
    <t>Lc12679</t>
  </si>
  <si>
    <t>Lc12739</t>
  </si>
  <si>
    <t>Lc12789</t>
  </si>
  <si>
    <t>Lc12714</t>
  </si>
  <si>
    <t>Lc12712</t>
  </si>
  <si>
    <t>Lc12740</t>
  </si>
  <si>
    <t>Lc12726</t>
  </si>
  <si>
    <t>Lc12720</t>
  </si>
  <si>
    <t>Lc12724</t>
  </si>
  <si>
    <t>Lc12728</t>
  </si>
  <si>
    <t>Lc12786</t>
  </si>
  <si>
    <t>Lc12742</t>
  </si>
  <si>
    <t>Lc12748</t>
  </si>
  <si>
    <t>Lc12765</t>
  </si>
  <si>
    <t>Lc12764</t>
  </si>
  <si>
    <t>Lc12741</t>
  </si>
  <si>
    <t>Lc12696</t>
  </si>
  <si>
    <t>Lc12722</t>
  </si>
  <si>
    <t>Lc12719</t>
  </si>
  <si>
    <t>Lc12751</t>
  </si>
  <si>
    <t>Lc12769</t>
  </si>
  <si>
    <t>Lc12717</t>
  </si>
  <si>
    <t>Lc12782</t>
  </si>
  <si>
    <t>Lc12745</t>
  </si>
  <si>
    <t>Lc12761</t>
  </si>
  <si>
    <t>Lc12744</t>
  </si>
  <si>
    <t>Lc12746</t>
  </si>
  <si>
    <t>Lc12756</t>
  </si>
  <si>
    <t>Lc12754</t>
  </si>
  <si>
    <t>Lc12784</t>
  </si>
  <si>
    <t>Lc12752</t>
  </si>
  <si>
    <t>Lc13238</t>
  </si>
  <si>
    <t>Lc12763</t>
  </si>
  <si>
    <t>Lc12760</t>
  </si>
  <si>
    <t>Lc12758</t>
  </si>
  <si>
    <t>Lc12677</t>
  </si>
  <si>
    <t>Lc12646</t>
  </si>
  <si>
    <t>Lc12645</t>
  </si>
  <si>
    <t>Lc12767</t>
  </si>
  <si>
    <t>Lc12689</t>
  </si>
  <si>
    <t>Lc12692</t>
  </si>
  <si>
    <t>Lc12693</t>
  </si>
  <si>
    <t>Lc12699</t>
  </si>
  <si>
    <t>Lc12766</t>
  </si>
  <si>
    <t>Lc12690</t>
  </si>
  <si>
    <t>Lc12691</t>
  </si>
  <si>
    <t>Lc12736</t>
  </si>
  <si>
    <t>Lc12873</t>
  </si>
  <si>
    <t>Lc12655</t>
  </si>
  <si>
    <t>Lc12662</t>
  </si>
  <si>
    <t>Lc12663</t>
  </si>
  <si>
    <t>Lc12999</t>
  </si>
  <si>
    <t>Lc12568</t>
  </si>
  <si>
    <t>Lc12733</t>
  </si>
  <si>
    <t>Lc12657</t>
  </si>
  <si>
    <t>Lc18472</t>
  </si>
  <si>
    <t>Lc12660</t>
  </si>
  <si>
    <t>Lc18497</t>
  </si>
  <si>
    <t>Lc114484</t>
  </si>
  <si>
    <t>Lc114192</t>
  </si>
  <si>
    <t>Lc12658</t>
  </si>
  <si>
    <t>Lc12572</t>
  </si>
  <si>
    <t>Lc12573</t>
  </si>
  <si>
    <t>Lc12574</t>
  </si>
  <si>
    <t>Lc12576</t>
  </si>
  <si>
    <t>Species</t>
  </si>
  <si>
    <t>LONG</t>
  </si>
  <si>
    <t>Leporillus apicalis</t>
  </si>
  <si>
    <t>Leporillus</t>
  </si>
  <si>
    <t>NPC NT 2002</t>
  </si>
  <si>
    <t>Search_cod</t>
  </si>
  <si>
    <t>Family_nam</t>
  </si>
  <si>
    <t>Taxon_name</t>
  </si>
  <si>
    <t>Common_nam</t>
  </si>
  <si>
    <t>Sort_order</t>
  </si>
  <si>
    <t>Datum</t>
  </si>
  <si>
    <t>Dec_latitu</t>
  </si>
  <si>
    <t>Dec_longit</t>
  </si>
  <si>
    <t>Geo_accura</t>
  </si>
  <si>
    <t>Begin_obs_</t>
  </si>
  <si>
    <t>End_obs_da</t>
  </si>
  <si>
    <t>Obs_reliab</t>
  </si>
  <si>
    <t>Observer</t>
  </si>
  <si>
    <t>Mammal</t>
  </si>
  <si>
    <t>Muridae</t>
  </si>
  <si>
    <t>Lesser Stick-nest Rat</t>
  </si>
  <si>
    <t>AGD66</t>
  </si>
  <si>
    <t>Observe</t>
  </si>
  <si>
    <t>Jeff Cole</t>
  </si>
  <si>
    <t>Fossil</t>
  </si>
  <si>
    <t>GJ FYFE</t>
  </si>
  <si>
    <t>A SOOS</t>
  </si>
  <si>
    <t>AJ BRIDGES</t>
  </si>
  <si>
    <t>KA JOHNSON</t>
  </si>
  <si>
    <t>LOW STRONG</t>
  </si>
  <si>
    <t>00/08/1989</t>
  </si>
  <si>
    <t>DF GIBSON</t>
  </si>
  <si>
    <t>DG LANGFORD</t>
  </si>
  <si>
    <t>00/09/1983</t>
  </si>
  <si>
    <t>D MATTHEWS</t>
  </si>
  <si>
    <t>0/9/1983</t>
  </si>
  <si>
    <t>Voucher</t>
  </si>
  <si>
    <t>Dennis Matthews</t>
  </si>
  <si>
    <t>Sign</t>
  </si>
  <si>
    <t>K LEHMANN</t>
  </si>
  <si>
    <t>MJ FREEMAN</t>
  </si>
  <si>
    <t>Author's description</t>
  </si>
  <si>
    <t>Publication date</t>
  </si>
  <si>
    <t>Author</t>
  </si>
  <si>
    <t>geology</t>
  </si>
  <si>
    <t>plants</t>
  </si>
  <si>
    <t>Latitude</t>
  </si>
  <si>
    <t>Longitude</t>
  </si>
  <si>
    <t>Location (State)</t>
  </si>
  <si>
    <t>Institution (University of New South Wales, University of Wollongong)</t>
  </si>
  <si>
    <t>Age estimate</t>
  </si>
  <si>
    <t>STDEV</t>
  </si>
  <si>
    <t>RADIOCARBON LAB.</t>
  </si>
  <si>
    <t>TYPE OF ANALYSIS</t>
  </si>
  <si>
    <t>MATERIAL ANALYSED</t>
  </si>
  <si>
    <t>DELTA13 CORRECTION (if known)</t>
  </si>
  <si>
    <t>PHYSICAL PRETREATMENT</t>
  </si>
  <si>
    <t>CHEMICAL PRETREATMENT</t>
  </si>
  <si>
    <t>POSITION</t>
  </si>
  <si>
    <t>Builder</t>
  </si>
  <si>
    <t>ARLTP5</t>
  </si>
  <si>
    <t>Webeck</t>
  </si>
  <si>
    <t>Quartzite</t>
  </si>
  <si>
    <t>Arltunga</t>
  </si>
  <si>
    <t>University of Newcastle</t>
  </si>
  <si>
    <t>Modern</t>
  </si>
  <si>
    <t>Waikato9583</t>
  </si>
  <si>
    <t>Conventional</t>
  </si>
  <si>
    <t>SNR scats</t>
  </si>
  <si>
    <t>Leporillis apicalis</t>
  </si>
  <si>
    <t>ARLT01</t>
  </si>
  <si>
    <t>Waikato9584</t>
  </si>
  <si>
    <t>ARLTN15</t>
  </si>
  <si>
    <t>+</t>
  </si>
  <si>
    <t>Waikato9585</t>
  </si>
  <si>
    <t>ARLTH10</t>
  </si>
  <si>
    <t>Waikato9581</t>
  </si>
  <si>
    <t>ARLTK2</t>
  </si>
  <si>
    <t>Waikato9582</t>
  </si>
  <si>
    <t>ARLTG8</t>
  </si>
  <si>
    <t>OZF197</t>
  </si>
  <si>
    <t>AMS</t>
  </si>
  <si>
    <t>FinkeG15</t>
  </si>
  <si>
    <t>Cockerill</t>
  </si>
  <si>
    <t>Amphitheatre</t>
  </si>
  <si>
    <t>Waikato</t>
  </si>
  <si>
    <t>FinkeI16</t>
  </si>
  <si>
    <t>FinkeA22</t>
  </si>
  <si>
    <t>FinkeH19</t>
  </si>
  <si>
    <t>FinkeF4</t>
  </si>
  <si>
    <t>Pearson2002</t>
  </si>
  <si>
    <t>Coonabarabran</t>
  </si>
  <si>
    <t>undated</t>
  </si>
  <si>
    <t xml:space="preserve">Nelson et al (1990) , </t>
  </si>
  <si>
    <t>Nelson</t>
  </si>
  <si>
    <t>ad</t>
  </si>
  <si>
    <t>Finke Gorge (NT)</t>
  </si>
  <si>
    <t>A3990</t>
  </si>
  <si>
    <t>?</t>
  </si>
  <si>
    <t>B</t>
  </si>
  <si>
    <t>A3989</t>
  </si>
  <si>
    <t>T</t>
  </si>
  <si>
    <t>M0236</t>
  </si>
  <si>
    <t>Pearson &amp; Dodson</t>
  </si>
  <si>
    <t>ab</t>
  </si>
  <si>
    <t xml:space="preserve"> 30 30' </t>
  </si>
  <si>
    <t>119 40'</t>
  </si>
  <si>
    <t>Bungalbin Hill (WA)</t>
  </si>
  <si>
    <t>UNSW</t>
  </si>
  <si>
    <t>OZB166</t>
  </si>
  <si>
    <t>SCAT</t>
  </si>
  <si>
    <t>Crushed, sieved particles greater than 0.2mm retained. For larger samples fibrous materials removed for dating.  For smaller samples all sieve material used.</t>
  </si>
  <si>
    <t>AAA treatment: 2M HCl at 60oC for 5 hours then room temperature for 15 hours, 2% NaOH at 60oC for 5 hours then room temperature for 15 hours, 2M HCl at 60oC for 5 hours then washed in deionised water.</t>
  </si>
  <si>
    <t>CRA9</t>
  </si>
  <si>
    <t>Pearson</t>
  </si>
  <si>
    <t xml:space="preserve">23 30' </t>
  </si>
  <si>
    <t>134 30'</t>
  </si>
  <si>
    <t>Cavenagh Range (WA)</t>
  </si>
  <si>
    <t>OZA980</t>
  </si>
  <si>
    <t>A</t>
  </si>
  <si>
    <t>Berry (1993)</t>
  </si>
  <si>
    <t>Berry</t>
  </si>
  <si>
    <t>24 19</t>
  </si>
  <si>
    <t>131 41</t>
  </si>
  <si>
    <t>MaqU</t>
  </si>
  <si>
    <t>BETA-23022</t>
  </si>
  <si>
    <t>PLANT FRAGMENTS</t>
  </si>
  <si>
    <t>OZA318 (one result only) 10900 +- 90</t>
  </si>
  <si>
    <t>BETA-23023</t>
  </si>
  <si>
    <t>M0505</t>
  </si>
  <si>
    <t>ac</t>
  </si>
  <si>
    <t>25 03'</t>
  </si>
  <si>
    <t>124 59'</t>
  </si>
  <si>
    <t>Young Range, Gibson Desert (WA)</t>
  </si>
  <si>
    <t>BETA-30955</t>
  </si>
  <si>
    <t>M05170b</t>
  </si>
  <si>
    <t>BETA-68230</t>
  </si>
  <si>
    <t>M06</t>
  </si>
  <si>
    <t>BETA-30956</t>
  </si>
  <si>
    <t>M0652</t>
  </si>
  <si>
    <t>OZA167U</t>
  </si>
  <si>
    <t>M07</t>
  </si>
  <si>
    <t>BETA-30957</t>
  </si>
  <si>
    <t>M</t>
  </si>
  <si>
    <t>BETA-30958</t>
  </si>
  <si>
    <t>USA127</t>
  </si>
  <si>
    <t>ag</t>
  </si>
  <si>
    <t>25 49'48"</t>
  </si>
  <si>
    <t>134 11'54"</t>
  </si>
  <si>
    <t>Umbeara Station (NT)</t>
  </si>
  <si>
    <t>OZA973U</t>
  </si>
  <si>
    <t>USA131</t>
  </si>
  <si>
    <t>OZA972</t>
  </si>
  <si>
    <t>USA16</t>
  </si>
  <si>
    <t>OZA186U</t>
  </si>
  <si>
    <t>USA22</t>
  </si>
  <si>
    <t>OZA187</t>
  </si>
  <si>
    <t>ACACIA PHYLLODE</t>
  </si>
  <si>
    <t>LEAF</t>
  </si>
  <si>
    <t>No physical pretreatment</t>
  </si>
  <si>
    <t>USB10</t>
  </si>
  <si>
    <t>OZA188U2</t>
  </si>
  <si>
    <t>OZA188U1</t>
  </si>
  <si>
    <t>USB11</t>
  </si>
  <si>
    <t>OZA189</t>
  </si>
  <si>
    <t>AMBERAT</t>
  </si>
  <si>
    <t>USB13</t>
  </si>
  <si>
    <t>OZA190</t>
  </si>
  <si>
    <t>USC191</t>
  </si>
  <si>
    <t>NOT DATABLE</t>
  </si>
  <si>
    <t>ANSTO</t>
  </si>
  <si>
    <t>USC31</t>
  </si>
  <si>
    <r>
      <t>101.55pMC</t>
    </r>
    <r>
      <rPr>
        <u/>
        <sz val="8"/>
        <rFont val="Arial"/>
        <family val="2"/>
      </rPr>
      <t>+</t>
    </r>
    <r>
      <rPr>
        <sz val="8"/>
        <rFont val="Arial"/>
        <family val="2"/>
      </rPr>
      <t xml:space="preserve"> 0.4%</t>
    </r>
  </si>
  <si>
    <t>OZA191</t>
  </si>
  <si>
    <t>SKIN</t>
  </si>
  <si>
    <t>No physical treatment</t>
  </si>
  <si>
    <t>2M HCl at 60oC for 1 hour, then at room te,perature for 15 hours, washed in deionised water</t>
  </si>
  <si>
    <t>USC39</t>
  </si>
  <si>
    <t>OZA192</t>
  </si>
  <si>
    <t>USC89</t>
  </si>
  <si>
    <t>BETA-76573</t>
  </si>
  <si>
    <t>USC99</t>
  </si>
  <si>
    <r>
      <t>101.1pMC</t>
    </r>
    <r>
      <rPr>
        <u/>
        <sz val="8"/>
        <rFont val="Arial"/>
        <family val="2"/>
      </rPr>
      <t>+</t>
    </r>
    <r>
      <rPr>
        <sz val="8"/>
        <rFont val="Arial"/>
        <family val="2"/>
      </rPr>
      <t xml:space="preserve"> 0.7%</t>
    </r>
  </si>
  <si>
    <t>BETA-76574</t>
  </si>
  <si>
    <t>USE72</t>
  </si>
  <si>
    <t>BETA-76575</t>
  </si>
  <si>
    <t>USF06</t>
  </si>
  <si>
    <t>OZA961U</t>
  </si>
  <si>
    <t>USG22</t>
  </si>
  <si>
    <t>OZA970</t>
  </si>
  <si>
    <t>USI76</t>
  </si>
  <si>
    <t>OZA969U</t>
  </si>
  <si>
    <t>USJ7</t>
  </si>
  <si>
    <t>OZA967</t>
  </si>
  <si>
    <t>USK14</t>
  </si>
  <si>
    <t>OZA966U</t>
  </si>
  <si>
    <t>USL7</t>
  </si>
  <si>
    <t>OZB165</t>
  </si>
  <si>
    <t>USM40</t>
  </si>
  <si>
    <t>OZA964U</t>
  </si>
  <si>
    <t>BARK</t>
  </si>
  <si>
    <t>Soil &amp; dust removed, sample milled and sieved, fragments larger than 0.5mm retained for dating</t>
  </si>
  <si>
    <t>USN104</t>
  </si>
  <si>
    <t>OZA963</t>
  </si>
  <si>
    <t>USN138</t>
  </si>
  <si>
    <t>OZA962</t>
  </si>
  <si>
    <t>USN160</t>
  </si>
  <si>
    <t>OZA965U</t>
  </si>
  <si>
    <t>USN279</t>
  </si>
  <si>
    <t>BETA-76576</t>
  </si>
  <si>
    <t>GRASS</t>
  </si>
  <si>
    <t>USN363</t>
  </si>
  <si>
    <t>BETA-76577</t>
  </si>
  <si>
    <t>CAA04</t>
  </si>
  <si>
    <t>26 09'30"</t>
  </si>
  <si>
    <t>127 54'48"</t>
  </si>
  <si>
    <t>Corroboree Rock (NT)</t>
  </si>
  <si>
    <t>OZB168U</t>
  </si>
  <si>
    <t>GRD12</t>
  </si>
  <si>
    <t>26 57'11"</t>
  </si>
  <si>
    <t>133 29'55"</t>
  </si>
  <si>
    <t>Granite Downs (SA)</t>
  </si>
  <si>
    <t>OZB164</t>
  </si>
  <si>
    <t>CHA14</t>
  </si>
  <si>
    <t>27 53' 08"</t>
  </si>
  <si>
    <t>134 19'02"</t>
  </si>
  <si>
    <t>Copper Hills (SA)</t>
  </si>
  <si>
    <t>OZA978U</t>
  </si>
  <si>
    <t>STICK</t>
  </si>
  <si>
    <t>CHA42</t>
  </si>
  <si>
    <t>OZA979U</t>
  </si>
  <si>
    <t>CHB15</t>
  </si>
  <si>
    <t>OZA976</t>
  </si>
  <si>
    <t>CHB41</t>
  </si>
  <si>
    <t>OZA977</t>
  </si>
  <si>
    <t>CHC119</t>
  </si>
  <si>
    <t>OZA974</t>
  </si>
  <si>
    <t>CHC22</t>
  </si>
  <si>
    <t>OZA181</t>
  </si>
  <si>
    <t>CHC24</t>
  </si>
  <si>
    <t>OZA182</t>
  </si>
  <si>
    <t>CHC42</t>
  </si>
  <si>
    <t>OZA975U</t>
  </si>
  <si>
    <t>CHD17</t>
  </si>
  <si>
    <t>OZA183</t>
  </si>
  <si>
    <t>CHD18</t>
  </si>
  <si>
    <t>OZA184</t>
  </si>
  <si>
    <t>PTA121A</t>
  </si>
  <si>
    <t>ae</t>
  </si>
  <si>
    <t>28 25'11"</t>
  </si>
  <si>
    <t>122 58'37"</t>
  </si>
  <si>
    <t>Pine Tree Caves (WA)</t>
  </si>
  <si>
    <t>BETA-67212</t>
  </si>
  <si>
    <t>GRASS MAT</t>
  </si>
  <si>
    <t>PTA234b</t>
  </si>
  <si>
    <t>BETA-68231</t>
  </si>
  <si>
    <t>HH1 base</t>
  </si>
  <si>
    <t>29 04'00''</t>
  </si>
  <si>
    <t>141 34'00''</t>
  </si>
  <si>
    <t>Arkaroola-Mt Painter (SA)</t>
  </si>
  <si>
    <t>UoW</t>
  </si>
  <si>
    <t>OZC041</t>
  </si>
  <si>
    <t>ARK1</t>
  </si>
  <si>
    <t>30 04'00''</t>
  </si>
  <si>
    <t>142 34'00''</t>
  </si>
  <si>
    <t>OZC044</t>
  </si>
  <si>
    <t>OZC045</t>
  </si>
  <si>
    <t>HH1 top</t>
  </si>
  <si>
    <t>OZC040</t>
  </si>
  <si>
    <t>NWCK 1</t>
  </si>
  <si>
    <t>OZC048</t>
  </si>
  <si>
    <t>NWCK 2</t>
  </si>
  <si>
    <t>OZC617U2</t>
  </si>
  <si>
    <t>OT1</t>
  </si>
  <si>
    <t>OZC616</t>
  </si>
  <si>
    <t>OZC621U1</t>
  </si>
  <si>
    <t>RC 1</t>
  </si>
  <si>
    <t>OZC046</t>
  </si>
  <si>
    <t>RC 2</t>
  </si>
  <si>
    <t>OZC618</t>
  </si>
  <si>
    <t>RC3 base</t>
  </si>
  <si>
    <t>OZC043</t>
  </si>
  <si>
    <t>WF</t>
  </si>
  <si>
    <t>OZC624</t>
  </si>
  <si>
    <t>SEEDS</t>
  </si>
  <si>
    <t>QVA312</t>
  </si>
  <si>
    <t>af</t>
  </si>
  <si>
    <t>30 19'44"</t>
  </si>
  <si>
    <t>123 16'02"</t>
  </si>
  <si>
    <t>Queen Victoria Springs (WA)</t>
  </si>
  <si>
    <t>OZA185</t>
  </si>
  <si>
    <t>not listed</t>
  </si>
  <si>
    <t>QVA464</t>
  </si>
  <si>
    <t>BETA-76571</t>
  </si>
  <si>
    <t>QVB107</t>
  </si>
  <si>
    <t>?OZA968U</t>
  </si>
  <si>
    <t>QVB37</t>
  </si>
  <si>
    <t>OZA314</t>
  </si>
  <si>
    <t>OZA968</t>
  </si>
  <si>
    <t>SAJQ/79i</t>
  </si>
  <si>
    <t>30 20'</t>
  </si>
  <si>
    <t>139 20'</t>
  </si>
  <si>
    <t>Griselda Hill, NE face (SA)</t>
  </si>
  <si>
    <t>OZA315</t>
  </si>
  <si>
    <t>SAJQ/79ii</t>
  </si>
  <si>
    <t>OZA316U</t>
  </si>
  <si>
    <t>N</t>
  </si>
  <si>
    <t>OZA31?</t>
  </si>
  <si>
    <t>SAJQ/85Li</t>
  </si>
  <si>
    <t>Mount Chambers (SA)</t>
  </si>
  <si>
    <t>OZA317</t>
  </si>
  <si>
    <t>SAJQ/85Lii</t>
  </si>
  <si>
    <t>OZA318U</t>
  </si>
  <si>
    <t>SCATS</t>
  </si>
  <si>
    <t>deleted by Lawson</t>
  </si>
  <si>
    <t>SAJQ/85Rii</t>
  </si>
  <si>
    <t>OZA319</t>
  </si>
  <si>
    <t>SAJQ76</t>
  </si>
  <si>
    <t>McCarthy et al</t>
  </si>
  <si>
    <t>Griselda Hill, SW face (SA)</t>
  </si>
  <si>
    <t>BETA-62204</t>
  </si>
  <si>
    <t>SAJQ77</t>
  </si>
  <si>
    <t>ANU7753</t>
  </si>
  <si>
    <t>SAJQ78</t>
  </si>
  <si>
    <t>ANU8136</t>
  </si>
  <si>
    <t>SAJQ79</t>
  </si>
  <si>
    <t>ANU7754</t>
  </si>
  <si>
    <t>SAJQ91</t>
  </si>
  <si>
    <t>ANU8140</t>
  </si>
  <si>
    <t>SAJQ92</t>
  </si>
  <si>
    <t>BETA-62205</t>
  </si>
  <si>
    <t>MO1</t>
  </si>
  <si>
    <t>30 30'</t>
  </si>
  <si>
    <t>BETA-30954</t>
  </si>
  <si>
    <t>C7</t>
  </si>
  <si>
    <t>Allen</t>
  </si>
  <si>
    <t>30 52'00'</t>
  </si>
  <si>
    <t>142 36'00'</t>
  </si>
  <si>
    <t>Coturaundee Ranges (NSW)</t>
  </si>
  <si>
    <t>BETA-89607</t>
  </si>
  <si>
    <t>WOOD</t>
  </si>
  <si>
    <t>C8 (front left)</t>
  </si>
  <si>
    <t>BETA-89608</t>
  </si>
  <si>
    <t>CG1</t>
  </si>
  <si>
    <t>30 58'00''</t>
  </si>
  <si>
    <t>139 16'00''</t>
  </si>
  <si>
    <t>Mount Chambers Gorge (SA)</t>
  </si>
  <si>
    <t>OZC619</t>
  </si>
  <si>
    <t>MC1 (centre)</t>
  </si>
  <si>
    <t>OZC620</t>
  </si>
  <si>
    <t>MC1 (exposed base)</t>
  </si>
  <si>
    <t>OZC625</t>
  </si>
  <si>
    <t>MC2 (overhang)</t>
  </si>
  <si>
    <t>OZC623</t>
  </si>
  <si>
    <t>MC2 (top)</t>
  </si>
  <si>
    <t>OZC614</t>
  </si>
  <si>
    <t>OZC622U1</t>
  </si>
  <si>
    <t>MD3</t>
  </si>
  <si>
    <t>OZC615U2</t>
  </si>
  <si>
    <t>SAJQ85L</t>
  </si>
  <si>
    <t>30 58'00"</t>
  </si>
  <si>
    <t xml:space="preserve"> 139 20'00"</t>
  </si>
  <si>
    <t>ANU8110</t>
  </si>
  <si>
    <t>PLANT FRAGMENTS &amp; SCAT</t>
  </si>
  <si>
    <t>ANU8138</t>
  </si>
  <si>
    <t>SAJQ85R</t>
  </si>
  <si>
    <t>OZA318</t>
  </si>
  <si>
    <t>SAJQ85R(base)</t>
  </si>
  <si>
    <t>ANU8109</t>
  </si>
  <si>
    <t>ANU8137</t>
  </si>
  <si>
    <t>SAJQ89</t>
  </si>
  <si>
    <t>Chambers Gorge (SA)</t>
  </si>
  <si>
    <t>ANU8139</t>
  </si>
  <si>
    <t>GH4 (top)</t>
  </si>
  <si>
    <t>31 04'00</t>
  </si>
  <si>
    <t>142 34'00</t>
  </si>
  <si>
    <t>Gap Range (NSW)</t>
  </si>
  <si>
    <t>BETA-59080</t>
  </si>
  <si>
    <t>ORGANICS</t>
  </si>
  <si>
    <t>GAP RANGE E (GHE) LOWER RIGHT</t>
  </si>
  <si>
    <t>142 34'00'</t>
  </si>
  <si>
    <t>BETA-89613</t>
  </si>
  <si>
    <t>GH E1</t>
  </si>
  <si>
    <t>BETA-89609</t>
  </si>
  <si>
    <t>GRASS/WOOD</t>
  </si>
  <si>
    <t>GH E2</t>
  </si>
  <si>
    <t>BETA-91807</t>
  </si>
  <si>
    <t>GH E3 (I)</t>
  </si>
  <si>
    <t>BETA-89611</t>
  </si>
  <si>
    <t>GH E3 (II)</t>
  </si>
  <si>
    <t>BETA-91809</t>
  </si>
  <si>
    <t>GH E3 (III)</t>
  </si>
  <si>
    <t>BETA-91808</t>
  </si>
  <si>
    <t>CASUARINA CLADODES</t>
  </si>
  <si>
    <t>GH E4</t>
  </si>
  <si>
    <t>BETA-91810</t>
  </si>
  <si>
    <t>GH E5 (I)</t>
  </si>
  <si>
    <t>BETA-91811</t>
  </si>
  <si>
    <t>GH E5 (II) lower left</t>
  </si>
  <si>
    <t>BETA-89612</t>
  </si>
  <si>
    <t>GH3 (I)</t>
  </si>
  <si>
    <t>OZA313U</t>
  </si>
  <si>
    <t>TWIG</t>
  </si>
  <si>
    <t>GH3 (ii)</t>
  </si>
  <si>
    <t>OZA312U</t>
  </si>
  <si>
    <t>GH6 (base)</t>
  </si>
  <si>
    <t>BETA-97075</t>
  </si>
  <si>
    <t>AMBERAT RESIDUE</t>
  </si>
  <si>
    <t>GH6 (top)</t>
  </si>
  <si>
    <t>BETA-89606</t>
  </si>
  <si>
    <t>GH2</t>
  </si>
  <si>
    <t>31 04'00''</t>
  </si>
  <si>
    <t>BETA-86305</t>
  </si>
  <si>
    <t>GH5 (I)</t>
  </si>
  <si>
    <t>BETA-86306</t>
  </si>
  <si>
    <t>GH8 (front)</t>
  </si>
  <si>
    <t>BETA-80610</t>
  </si>
  <si>
    <t>RC3 top</t>
  </si>
  <si>
    <t>143 34'00''</t>
  </si>
  <si>
    <t>OZC042</t>
  </si>
  <si>
    <t>Green et al (1983)</t>
  </si>
  <si>
    <t>Green et al</t>
  </si>
  <si>
    <t>sandstone</t>
  </si>
  <si>
    <t>31 10'</t>
  </si>
  <si>
    <t>142 36'</t>
  </si>
  <si>
    <t>ANU2385</t>
  </si>
  <si>
    <t>CHARCOAL</t>
  </si>
  <si>
    <t>BR1 (base)</t>
  </si>
  <si>
    <t>31 21'00''</t>
  </si>
  <si>
    <t>138 33'00''</t>
  </si>
  <si>
    <t>Brachina Gorge (SA)</t>
  </si>
  <si>
    <t>OZB291</t>
  </si>
  <si>
    <t>BR1 (top)</t>
  </si>
  <si>
    <t>OZB292</t>
  </si>
  <si>
    <t>BR2 (middle)</t>
  </si>
  <si>
    <t>OZC049</t>
  </si>
  <si>
    <t>BR3 (base)</t>
  </si>
  <si>
    <t>OZB298</t>
  </si>
  <si>
    <t>OZB293</t>
  </si>
  <si>
    <t>BR3 (top)</t>
  </si>
  <si>
    <t>OZB300</t>
  </si>
  <si>
    <t>OZB299</t>
  </si>
  <si>
    <t>BR4 (10cm)</t>
  </si>
  <si>
    <t>OZB295</t>
  </si>
  <si>
    <t>OZB294</t>
  </si>
  <si>
    <t>BR4 (60cm)</t>
  </si>
  <si>
    <t>OZB297</t>
  </si>
  <si>
    <t>OZB296</t>
  </si>
  <si>
    <t>BR7 (base)</t>
  </si>
  <si>
    <t>OZC047</t>
  </si>
  <si>
    <t>BRACHINA 1 GORGE</t>
  </si>
  <si>
    <t>OZA308U</t>
  </si>
  <si>
    <t>BRACHINA 2</t>
  </si>
  <si>
    <t>OZA309</t>
  </si>
  <si>
    <t xml:space="preserve">138 33'00''   </t>
  </si>
  <si>
    <t>BETA-81090</t>
  </si>
  <si>
    <t>BETA-8108</t>
  </si>
  <si>
    <t>BETA-81091</t>
  </si>
  <si>
    <t>BR4 (20cm)</t>
  </si>
  <si>
    <t>BETA-87299</t>
  </si>
  <si>
    <t>BR4 (30cm)</t>
  </si>
  <si>
    <t>BETA-87300</t>
  </si>
  <si>
    <t>BR4 (40cm)</t>
  </si>
  <si>
    <t>BETA-87301</t>
  </si>
  <si>
    <t>BR4 (50cm)</t>
  </si>
  <si>
    <t>BETA-87302</t>
  </si>
  <si>
    <t>BETA-81092</t>
  </si>
  <si>
    <t>GH5 (II)</t>
  </si>
  <si>
    <t>BETA-86307</t>
  </si>
  <si>
    <t>GH4 (base)</t>
  </si>
  <si>
    <t>BETA-59079</t>
  </si>
  <si>
    <t>GH1 (top)</t>
  </si>
  <si>
    <t>BETA-59078</t>
  </si>
  <si>
    <t>GH1 (base)</t>
  </si>
  <si>
    <t>BETA-59077</t>
  </si>
  <si>
    <t>EYRIE 2</t>
  </si>
  <si>
    <t>OZA310U</t>
  </si>
  <si>
    <t>&gt;</t>
  </si>
  <si>
    <t>EYRIE CAVE 2</t>
  </si>
  <si>
    <t>OZA311</t>
  </si>
  <si>
    <t>HEAD 1993</t>
  </si>
  <si>
    <t xml:space="preserve">Lava Caves western VIC, </t>
  </si>
  <si>
    <t>HH1</t>
  </si>
  <si>
    <t>email from Lesley</t>
  </si>
  <si>
    <t>QUADE et al 1991</t>
  </si>
  <si>
    <t>Quade et al</t>
  </si>
  <si>
    <t xml:space="preserve">BETA-67214 </t>
  </si>
  <si>
    <t xml:space="preserve">GRASS, </t>
  </si>
  <si>
    <t>LAT</t>
  </si>
  <si>
    <t>Location data</t>
  </si>
  <si>
    <t>False Entrance Well</t>
  </si>
  <si>
    <t>Coastal cliffs</t>
  </si>
  <si>
    <t>Guichenault Point</t>
  </si>
  <si>
    <t>Baba Head</t>
  </si>
  <si>
    <t>Limestone ridge SE of Cardabia Hstd</t>
  </si>
  <si>
    <t>Cave C-207 Cape Range</t>
  </si>
  <si>
    <t>Cave C-4 Cape Range</t>
  </si>
  <si>
    <t>Cave C-200 Cape Range</t>
  </si>
  <si>
    <t>Cave C-299 Cape Range</t>
  </si>
  <si>
    <t>Cave C-251 Cape Range</t>
  </si>
  <si>
    <t>Bluffs near Yaringa Homestead</t>
  </si>
  <si>
    <t>Breakaway on Winderie Station</t>
  </si>
  <si>
    <t>Mesa near Table Top Well</t>
  </si>
  <si>
    <t>Rockshelter on Merkanooka Stn</t>
  </si>
  <si>
    <t>Tallering Hill</t>
  </si>
  <si>
    <t>Breakaways on Murgoo Stn</t>
  </si>
  <si>
    <t>Karara Stn</t>
  </si>
  <si>
    <t>Small breakaway SE of Mt Elephant</t>
  </si>
  <si>
    <t>Narring Range</t>
  </si>
  <si>
    <t>Beanthiny Hill</t>
  </si>
  <si>
    <t>Wilgie Mia</t>
  </si>
  <si>
    <t>Sawback Range</t>
  </si>
  <si>
    <t>Breakaway ENE of Kirkalocka Hstd</t>
  </si>
  <si>
    <t>Limestone gorge</t>
  </si>
  <si>
    <t>Breakaway on Diemals Station</t>
  </si>
  <si>
    <t>10.7 km W of Bulloo Downs Hstd</t>
  </si>
  <si>
    <t>Breakaway 20 miles NW Yeelirrie Hstd</t>
  </si>
  <si>
    <t>White Cloud Cliffs</t>
  </si>
  <si>
    <t>Breakaways NW of Callion</t>
  </si>
  <si>
    <t>Millrose Station</t>
  </si>
  <si>
    <t>Old tree on Yerilla Station</t>
  </si>
  <si>
    <t>Pinjin Station</t>
  </si>
  <si>
    <t>Mt Johnson</t>
  </si>
  <si>
    <t>Young Range</t>
  </si>
  <si>
    <t>Breakaways near Gahnda Rockhole</t>
  </si>
  <si>
    <t>Mount Samuel</t>
  </si>
  <si>
    <t>Breakaways near Winduldurra Rockhole</t>
  </si>
  <si>
    <t>Manton Knob</t>
  </si>
  <si>
    <t>Point Wood</t>
  </si>
  <si>
    <t xml:space="preserve"> Pinnacles Station</t>
  </si>
  <si>
    <t xml:space="preserve"> Edel Land</t>
  </si>
  <si>
    <t xml:space="preserve"> Dirk Hartog I.</t>
  </si>
  <si>
    <t xml:space="preserve"> Lyons R. Stn</t>
  </si>
  <si>
    <t>West Coast Well</t>
  </si>
  <si>
    <t>Herald Heights</t>
  </si>
  <si>
    <t>Bluff Point</t>
  </si>
  <si>
    <t>Breakaway on Narndee Station</t>
  </si>
  <si>
    <t>W. end Red Lake near Kalgoorlie</t>
  </si>
  <si>
    <t xml:space="preserve"> Mt Gibson Station</t>
  </si>
  <si>
    <t>Nullarbor sinkhole</t>
  </si>
  <si>
    <t xml:space="preserve"> Kalbarri National Park</t>
  </si>
  <si>
    <t xml:space="preserve"> Shark Bay</t>
  </si>
  <si>
    <t xml:space="preserve"> Peron Peninsula</t>
  </si>
  <si>
    <t xml:space="preserve"> NE Cape Cuvier</t>
  </si>
  <si>
    <t>Loves Creek Station</t>
  </si>
  <si>
    <t>Allitera Tableland Hale River, eastern side, around Numery Dam</t>
  </si>
  <si>
    <t>Manners Creek</t>
  </si>
  <si>
    <t xml:space="preserve"> south</t>
  </si>
  <si>
    <t xml:space="preserve"> Pingandie Stn</t>
  </si>
  <si>
    <t>Study Location File Upload</t>
  </si>
  <si>
    <t>SHaRED can process study location coordinates provided in a csv file (comma-separated values file). For more information on how to create a csv file with Microsoft Excel, please use this link.</t>
  </si>
  <si>
    <t>The csv file must comply with the following requirements:</t>
  </si>
  <si>
    <t>The file needs to be composed of the following columns (in this order):</t>
  </si>
  <si>
    <t>study location identifier, x coordinate, y coordinate, zone, comments</t>
  </si>
  <si>
    <t>Column headers are not required.</t>
  </si>
  <si>
    <t>The 'zone' and 'comments' values are optional, but the file should contain empty strings ("") in their place.</t>
  </si>
  <si>
    <t>The following text is a row from a study location file in csv format without 'zone' and 'comments' values:</t>
  </si>
  <si>
    <t>NTBHR001,137.34,-38.33,"",""</t>
  </si>
  <si>
    <t>Study Location File:</t>
  </si>
  <si>
    <t>Description:</t>
  </si>
  <si>
    <t>Coordinate System:</t>
  </si>
  <si>
    <t>                         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</si>
</sst>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15"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u/>
      <sz val="8"/>
      <color indexed="1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3.5"/>
      <color rgb="FF000000"/>
      <name val="Verdana"/>
      <family val="2"/>
    </font>
    <font>
      <sz val="14"/>
      <color rgb="FF000000"/>
      <name val="Verdana"/>
      <family val="2"/>
    </font>
    <font>
      <sz val="12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56">
    <xf numFmtId="0" fontId="0" fillId="0" borderId="0" xfId="0"/>
    <xf numFmtId="1" fontId="0" fillId="0" borderId="0" xfId="0" applyNumberFormat="1"/>
    <xf numFmtId="164" fontId="1" fillId="0" borderId="0" xfId="0" applyNumberFormat="1" applyFont="1"/>
    <xf numFmtId="0" fontId="2" fillId="0" borderId="1" xfId="2" applyFont="1" applyBorder="1" applyAlignment="1" applyProtection="1">
      <alignment horizontal="right" wrapText="1"/>
      <protection locked="0"/>
    </xf>
    <xf numFmtId="0" fontId="2" fillId="0" borderId="1" xfId="2" applyFont="1" applyBorder="1" applyAlignment="1">
      <alignment horizontal="left" wrapText="1"/>
    </xf>
    <xf numFmtId="164" fontId="0" fillId="0" borderId="0" xfId="0" applyNumberFormat="1"/>
    <xf numFmtId="1" fontId="2" fillId="0" borderId="1" xfId="2" applyNumberFormat="1" applyFont="1" applyBorder="1" applyAlignment="1" applyProtection="1">
      <alignment horizontal="right" wrapText="1"/>
      <protection locked="0"/>
    </xf>
    <xf numFmtId="1" fontId="0" fillId="0" borderId="1" xfId="0" applyNumberFormat="1" applyBorder="1"/>
    <xf numFmtId="0" fontId="2" fillId="0" borderId="0" xfId="2" applyFont="1" applyAlignment="1" applyProtection="1">
      <alignment horizontal="right" wrapText="1"/>
      <protection locked="0"/>
    </xf>
    <xf numFmtId="1" fontId="2" fillId="0" borderId="0" xfId="2" applyNumberFormat="1" applyFont="1" applyAlignment="1" applyProtection="1">
      <alignment horizontal="right" wrapText="1"/>
      <protection locked="0"/>
    </xf>
    <xf numFmtId="0" fontId="2" fillId="0" borderId="0" xfId="2" applyFont="1" applyAlignment="1">
      <alignment horizontal="left" wrapText="1"/>
    </xf>
    <xf numFmtId="14" fontId="0" fillId="0" borderId="0" xfId="0" applyNumberFormat="1"/>
    <xf numFmtId="0" fontId="0" fillId="0" borderId="1" xfId="0" applyBorder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0" xfId="0" applyFont="1"/>
    <xf numFmtId="165" fontId="4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1" fontId="5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165" fontId="5" fillId="0" borderId="0" xfId="0" quotePrefix="1" applyNumberFormat="1" applyFont="1" applyAlignment="1">
      <alignment horizontal="right"/>
    </xf>
    <xf numFmtId="0" fontId="5" fillId="0" borderId="0" xfId="0" quotePrefix="1" applyFont="1" applyAlignment="1">
      <alignment horizontal="right"/>
    </xf>
    <xf numFmtId="1" fontId="5" fillId="0" borderId="0" xfId="0" quotePrefix="1" applyNumberFormat="1" applyFont="1" applyAlignment="1">
      <alignment horizontal="right"/>
    </xf>
    <xf numFmtId="0" fontId="7" fillId="0" borderId="0" xfId="0" applyFont="1"/>
    <xf numFmtId="1" fontId="7" fillId="0" borderId="0" xfId="0" applyNumberFormat="1" applyFont="1" applyAlignment="1">
      <alignment horizontal="righ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left"/>
    </xf>
    <xf numFmtId="165" fontId="7" fillId="0" borderId="0" xfId="0" applyNumberFormat="1" applyFont="1"/>
    <xf numFmtId="165" fontId="9" fillId="0" borderId="0" xfId="0" applyNumberFormat="1" applyFont="1"/>
    <xf numFmtId="0" fontId="10" fillId="0" borderId="0" xfId="0" applyFont="1" applyAlignment="1">
      <alignment horizontal="justify" vertical="top" wrapText="1"/>
    </xf>
    <xf numFmtId="164" fontId="5" fillId="0" borderId="0" xfId="0" applyNumberFormat="1" applyFont="1"/>
    <xf numFmtId="0" fontId="2" fillId="0" borderId="1" xfId="2" applyFont="1" applyBorder="1" applyAlignment="1">
      <alignment horizontal="left"/>
    </xf>
    <xf numFmtId="2" fontId="10" fillId="0" borderId="0" xfId="0" applyNumberFormat="1" applyFont="1" applyAlignment="1">
      <alignment horizontal="justify" vertical="top"/>
    </xf>
    <xf numFmtId="1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1" fillId="0" borderId="0" xfId="1" applyAlignment="1" applyProtection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4" fillId="0" borderId="0" xfId="0" applyFont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4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3">
    <cellStyle name="Hyperlink" xfId="1" builtinId="8"/>
    <cellStyle name="Normal" xfId="0" builtinId="0"/>
    <cellStyle name="Normal_Sheet1" xfId="2" xr:uid="{11078886-0A84-43A8-B0B3-3FD12226E5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chartsheet" Target="chartsheets/sheet2.xml"/><Relationship Id="rId15" Type="http://schemas.openxmlformats.org/officeDocument/2006/relationships/calcChain" Target="calcChain.xml"/><Relationship Id="rId10" Type="http://schemas.openxmlformats.org/officeDocument/2006/relationships/worksheet" Target="worksheets/sheet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</a:t>
            </a:r>
          </a:p>
        </c:rich>
      </c:tx>
      <c:layout>
        <c:manualLayout>
          <c:xMode val="edge"/>
          <c:yMode val="edge"/>
          <c:x val="0.45087902922288159"/>
          <c:y val="2.03389082910095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979317476732158E-2"/>
          <c:y val="0.12542372881355932"/>
          <c:w val="0.90796277145811788"/>
          <c:h val="0.838983050847457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'all records'!$D$1</c:f>
              <c:strCache>
                <c:ptCount val="1"/>
                <c:pt idx="0">
                  <c:v>LAT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'all records'!$B$2:$B$460</c:f>
              <c:strCache>
                <c:ptCount val="459"/>
                <c:pt idx="0">
                  <c:v>Leporillus apicalis</c:v>
                </c:pt>
                <c:pt idx="1">
                  <c:v>Leporillus apicalis</c:v>
                </c:pt>
                <c:pt idx="2">
                  <c:v>Leporillus apicalis</c:v>
                </c:pt>
                <c:pt idx="3">
                  <c:v>Leporillus apicalis</c:v>
                </c:pt>
                <c:pt idx="4">
                  <c:v>Leporillus apicalis</c:v>
                </c:pt>
                <c:pt idx="5">
                  <c:v>Leporillus apicalis</c:v>
                </c:pt>
                <c:pt idx="6">
                  <c:v>Leporillus apicalis</c:v>
                </c:pt>
                <c:pt idx="7">
                  <c:v>Leporillus apicalis</c:v>
                </c:pt>
                <c:pt idx="8">
                  <c:v>Leporillus apicalis</c:v>
                </c:pt>
                <c:pt idx="9">
                  <c:v>Leporillus apicalis</c:v>
                </c:pt>
                <c:pt idx="10">
                  <c:v>Leporillus apicalis</c:v>
                </c:pt>
                <c:pt idx="11">
                  <c:v>Leporillus apicalis</c:v>
                </c:pt>
                <c:pt idx="12">
                  <c:v>Leporillus apicalis</c:v>
                </c:pt>
                <c:pt idx="13">
                  <c:v>Leporillus apicalis</c:v>
                </c:pt>
                <c:pt idx="14">
                  <c:v>Leporillus apicalis</c:v>
                </c:pt>
                <c:pt idx="15">
                  <c:v>Leporillus apicalis</c:v>
                </c:pt>
                <c:pt idx="16">
                  <c:v>Leporillus apicalis</c:v>
                </c:pt>
                <c:pt idx="17">
                  <c:v>Leporillus apicalis</c:v>
                </c:pt>
                <c:pt idx="18">
                  <c:v>Leporillus apicalis</c:v>
                </c:pt>
                <c:pt idx="19">
                  <c:v>Leporillus apicalis</c:v>
                </c:pt>
                <c:pt idx="20">
                  <c:v>Leporillus apicalis</c:v>
                </c:pt>
                <c:pt idx="21">
                  <c:v>Leporillus apicalis</c:v>
                </c:pt>
                <c:pt idx="22">
                  <c:v>Leporillus apicalis</c:v>
                </c:pt>
                <c:pt idx="23">
                  <c:v>Leporillus apicalis</c:v>
                </c:pt>
                <c:pt idx="24">
                  <c:v>Leporillus apicalis</c:v>
                </c:pt>
                <c:pt idx="25">
                  <c:v>Leporillus apicalis</c:v>
                </c:pt>
                <c:pt idx="26">
                  <c:v>Leporillus apicalis</c:v>
                </c:pt>
                <c:pt idx="27">
                  <c:v>Leporillus apicalis</c:v>
                </c:pt>
                <c:pt idx="28">
                  <c:v>Leporillus apicalis</c:v>
                </c:pt>
                <c:pt idx="29">
                  <c:v>Leporillus apicalis</c:v>
                </c:pt>
                <c:pt idx="30">
                  <c:v>Leporillus apicalis</c:v>
                </c:pt>
                <c:pt idx="31">
                  <c:v>Leporillus apicalis</c:v>
                </c:pt>
                <c:pt idx="32">
                  <c:v>Leporillus apicalis</c:v>
                </c:pt>
                <c:pt idx="33">
                  <c:v>Leporillus apicalis</c:v>
                </c:pt>
                <c:pt idx="34">
                  <c:v>Leporillus apicalis</c:v>
                </c:pt>
                <c:pt idx="35">
                  <c:v>Leporillus apicalis</c:v>
                </c:pt>
                <c:pt idx="36">
                  <c:v>Leporillus apicalis</c:v>
                </c:pt>
                <c:pt idx="37">
                  <c:v>Leporillus apicalis</c:v>
                </c:pt>
                <c:pt idx="38">
                  <c:v>Leporillus apicalis</c:v>
                </c:pt>
                <c:pt idx="39">
                  <c:v>Leporillus apicalis</c:v>
                </c:pt>
                <c:pt idx="40">
                  <c:v>Leporillus apicalis</c:v>
                </c:pt>
                <c:pt idx="41">
                  <c:v>Leporillus apicalis</c:v>
                </c:pt>
                <c:pt idx="42">
                  <c:v>Leporillus apicalis</c:v>
                </c:pt>
                <c:pt idx="43">
                  <c:v>Leporillus apicalis</c:v>
                </c:pt>
                <c:pt idx="44">
                  <c:v>Leporillus apicalis</c:v>
                </c:pt>
                <c:pt idx="45">
                  <c:v>Leporillus apicalis</c:v>
                </c:pt>
                <c:pt idx="46">
                  <c:v>Leporillus apicalis</c:v>
                </c:pt>
                <c:pt idx="47">
                  <c:v>Leporillus apicalis</c:v>
                </c:pt>
                <c:pt idx="48">
                  <c:v>Leporillus apicalis</c:v>
                </c:pt>
                <c:pt idx="49">
                  <c:v>Leporillus apicalis</c:v>
                </c:pt>
                <c:pt idx="50">
                  <c:v>Leporillus apicalis</c:v>
                </c:pt>
                <c:pt idx="51">
                  <c:v>Leporillus apicalis</c:v>
                </c:pt>
                <c:pt idx="52">
                  <c:v>Leporillus apicalis</c:v>
                </c:pt>
                <c:pt idx="53">
                  <c:v>Leporillus apicalis</c:v>
                </c:pt>
                <c:pt idx="54">
                  <c:v>Leporillus apicalis</c:v>
                </c:pt>
                <c:pt idx="55">
                  <c:v>Leporillus apicalis</c:v>
                </c:pt>
                <c:pt idx="56">
                  <c:v>Leporillus apicalis</c:v>
                </c:pt>
                <c:pt idx="57">
                  <c:v>Leporillus apicalis</c:v>
                </c:pt>
                <c:pt idx="58">
                  <c:v>Leporillus apicalis</c:v>
                </c:pt>
                <c:pt idx="59">
                  <c:v>Leporillus apicalis</c:v>
                </c:pt>
                <c:pt idx="60">
                  <c:v>Leporillus apicalis</c:v>
                </c:pt>
                <c:pt idx="61">
                  <c:v>Leporillus apicalis</c:v>
                </c:pt>
                <c:pt idx="62">
                  <c:v>Leporillus apicalis</c:v>
                </c:pt>
                <c:pt idx="63">
                  <c:v>Leporillus apicalis</c:v>
                </c:pt>
                <c:pt idx="64">
                  <c:v>Leporillus apicalis</c:v>
                </c:pt>
                <c:pt idx="65">
                  <c:v>Leporillus apicalis</c:v>
                </c:pt>
                <c:pt idx="66">
                  <c:v>Leporillus apicalis</c:v>
                </c:pt>
                <c:pt idx="67">
                  <c:v>Leporillus apicalis</c:v>
                </c:pt>
                <c:pt idx="68">
                  <c:v>Leporillus apicalis</c:v>
                </c:pt>
                <c:pt idx="69">
                  <c:v>Leporillus apicalis</c:v>
                </c:pt>
                <c:pt idx="70">
                  <c:v>Leporillus apicalis</c:v>
                </c:pt>
                <c:pt idx="71">
                  <c:v>Leporillus apicalis</c:v>
                </c:pt>
                <c:pt idx="72">
                  <c:v>Leporillus apicalis</c:v>
                </c:pt>
                <c:pt idx="73">
                  <c:v>Leporillus apicalis</c:v>
                </c:pt>
                <c:pt idx="74">
                  <c:v>Leporillus apicalis</c:v>
                </c:pt>
                <c:pt idx="75">
                  <c:v>Leporillus apicalis</c:v>
                </c:pt>
                <c:pt idx="76">
                  <c:v>Leporillus apicalis</c:v>
                </c:pt>
                <c:pt idx="77">
                  <c:v>Leporillus apicalis</c:v>
                </c:pt>
                <c:pt idx="78">
                  <c:v>Leporillus apicalis</c:v>
                </c:pt>
                <c:pt idx="79">
                  <c:v>Leporillus apicalis</c:v>
                </c:pt>
                <c:pt idx="80">
                  <c:v>Leporillus apicalis</c:v>
                </c:pt>
                <c:pt idx="81">
                  <c:v>Leporillus apicalis</c:v>
                </c:pt>
                <c:pt idx="82">
                  <c:v>Leporillus apicalis</c:v>
                </c:pt>
                <c:pt idx="83">
                  <c:v>Leporillus apicalis</c:v>
                </c:pt>
                <c:pt idx="84">
                  <c:v>Leporillus apicalis</c:v>
                </c:pt>
                <c:pt idx="85">
                  <c:v>Leporillus apicalis</c:v>
                </c:pt>
                <c:pt idx="86">
                  <c:v>Leporillus apicalis</c:v>
                </c:pt>
                <c:pt idx="87">
                  <c:v>Leporillus apicalis</c:v>
                </c:pt>
                <c:pt idx="88">
                  <c:v>Leporillus apicalis</c:v>
                </c:pt>
                <c:pt idx="89">
                  <c:v>Leporillus apicalis</c:v>
                </c:pt>
                <c:pt idx="90">
                  <c:v>Leporillus apicalis</c:v>
                </c:pt>
                <c:pt idx="91">
                  <c:v>Leporillus apicalis</c:v>
                </c:pt>
                <c:pt idx="92">
                  <c:v>Leporillus apicalis</c:v>
                </c:pt>
                <c:pt idx="93">
                  <c:v>Leporillus apicalis</c:v>
                </c:pt>
                <c:pt idx="94">
                  <c:v>Leporillus apicalis</c:v>
                </c:pt>
                <c:pt idx="95">
                  <c:v>Leporillus apicalis</c:v>
                </c:pt>
                <c:pt idx="96">
                  <c:v>Leporillus apicalis</c:v>
                </c:pt>
                <c:pt idx="97">
                  <c:v>Leporillus apicalis</c:v>
                </c:pt>
                <c:pt idx="98">
                  <c:v>Leporillus apicalis</c:v>
                </c:pt>
                <c:pt idx="99">
                  <c:v>Leporillus apicalis</c:v>
                </c:pt>
                <c:pt idx="100">
                  <c:v>Leporillus apicalis</c:v>
                </c:pt>
                <c:pt idx="101">
                  <c:v>Leporillus conditor</c:v>
                </c:pt>
                <c:pt idx="102">
                  <c:v>Leporillus conditor</c:v>
                </c:pt>
                <c:pt idx="103">
                  <c:v>Leporillus conditor</c:v>
                </c:pt>
                <c:pt idx="104">
                  <c:v>Leporillus conditor</c:v>
                </c:pt>
                <c:pt idx="105">
                  <c:v>Leporillus conditor</c:v>
                </c:pt>
                <c:pt idx="106">
                  <c:v>Leporillus conditor</c:v>
                </c:pt>
                <c:pt idx="107">
                  <c:v>Leporillus conditor</c:v>
                </c:pt>
                <c:pt idx="108">
                  <c:v>Leporillus conditor</c:v>
                </c:pt>
                <c:pt idx="109">
                  <c:v>Leporillus conditor</c:v>
                </c:pt>
                <c:pt idx="110">
                  <c:v>Leporillus conditor</c:v>
                </c:pt>
                <c:pt idx="111">
                  <c:v>Leporillus conditor</c:v>
                </c:pt>
                <c:pt idx="112">
                  <c:v>Leporillus conditor</c:v>
                </c:pt>
                <c:pt idx="113">
                  <c:v>Leporillus conditor</c:v>
                </c:pt>
                <c:pt idx="114">
                  <c:v>Leporillus conditor</c:v>
                </c:pt>
                <c:pt idx="115">
                  <c:v>Leporillus conditor</c:v>
                </c:pt>
                <c:pt idx="116">
                  <c:v>Leporillus conditor</c:v>
                </c:pt>
                <c:pt idx="117">
                  <c:v>Leporillus conditor</c:v>
                </c:pt>
                <c:pt idx="118">
                  <c:v>Leporillus conditor</c:v>
                </c:pt>
                <c:pt idx="119">
                  <c:v>Leporillus conditor</c:v>
                </c:pt>
                <c:pt idx="120">
                  <c:v>Leporillus conditor</c:v>
                </c:pt>
                <c:pt idx="121">
                  <c:v>Leporillus conditor</c:v>
                </c:pt>
                <c:pt idx="122">
                  <c:v>Leporillus conditor</c:v>
                </c:pt>
                <c:pt idx="123">
                  <c:v>Leporillus conditor</c:v>
                </c:pt>
                <c:pt idx="124">
                  <c:v>Leporillus conditor</c:v>
                </c:pt>
                <c:pt idx="125">
                  <c:v>Leporillus conditor</c:v>
                </c:pt>
                <c:pt idx="126">
                  <c:v>Leporillus conditor</c:v>
                </c:pt>
                <c:pt idx="127">
                  <c:v>Leporillus conditor</c:v>
                </c:pt>
                <c:pt idx="128">
                  <c:v>Leporillus conditor</c:v>
                </c:pt>
                <c:pt idx="129">
                  <c:v>Leporillus conditor</c:v>
                </c:pt>
                <c:pt idx="130">
                  <c:v>Leporillus conditor</c:v>
                </c:pt>
                <c:pt idx="131">
                  <c:v>Leporillus conditor</c:v>
                </c:pt>
                <c:pt idx="132">
                  <c:v>Leporillus conditor</c:v>
                </c:pt>
                <c:pt idx="133">
                  <c:v>Leporillus conditor</c:v>
                </c:pt>
                <c:pt idx="134">
                  <c:v>Leporillus conditor</c:v>
                </c:pt>
                <c:pt idx="135">
                  <c:v>Leporillus conditor</c:v>
                </c:pt>
                <c:pt idx="136">
                  <c:v>Leporillus conditor</c:v>
                </c:pt>
                <c:pt idx="137">
                  <c:v>Leporillus conditor</c:v>
                </c:pt>
                <c:pt idx="138">
                  <c:v>Leporillus conditor</c:v>
                </c:pt>
                <c:pt idx="139">
                  <c:v>Leporillus conditor</c:v>
                </c:pt>
                <c:pt idx="140">
                  <c:v>Leporillus conditor</c:v>
                </c:pt>
                <c:pt idx="141">
                  <c:v>Leporillus conditor</c:v>
                </c:pt>
                <c:pt idx="142">
                  <c:v>Leporillus conditor</c:v>
                </c:pt>
                <c:pt idx="143">
                  <c:v>Leporillus conditor</c:v>
                </c:pt>
                <c:pt idx="144">
                  <c:v>Leporillus conditor</c:v>
                </c:pt>
                <c:pt idx="145">
                  <c:v>Leporillus conditor</c:v>
                </c:pt>
                <c:pt idx="146">
                  <c:v>Leporillus conditor</c:v>
                </c:pt>
                <c:pt idx="147">
                  <c:v>Leporillus conditor</c:v>
                </c:pt>
                <c:pt idx="148">
                  <c:v>Leporillus conditor</c:v>
                </c:pt>
                <c:pt idx="149">
                  <c:v>Leporillus conditor</c:v>
                </c:pt>
                <c:pt idx="150">
                  <c:v>Leporillus conditor</c:v>
                </c:pt>
                <c:pt idx="151">
                  <c:v>Leporillus conditor</c:v>
                </c:pt>
                <c:pt idx="152">
                  <c:v>Leporillus conditor</c:v>
                </c:pt>
                <c:pt idx="153">
                  <c:v>Leporillus conditor</c:v>
                </c:pt>
                <c:pt idx="154">
                  <c:v>Leporillus conditor</c:v>
                </c:pt>
                <c:pt idx="155">
                  <c:v>Leporillus conditor</c:v>
                </c:pt>
                <c:pt idx="156">
                  <c:v>Leporillus conditor</c:v>
                </c:pt>
                <c:pt idx="157">
                  <c:v>Leporillus conditor</c:v>
                </c:pt>
                <c:pt idx="158">
                  <c:v>Leporillus conditor</c:v>
                </c:pt>
                <c:pt idx="159">
                  <c:v>Leporillus conditor</c:v>
                </c:pt>
                <c:pt idx="160">
                  <c:v>Leporillus conditor</c:v>
                </c:pt>
                <c:pt idx="161">
                  <c:v>Leporillus conditor</c:v>
                </c:pt>
                <c:pt idx="162">
                  <c:v>Leporillus conditor</c:v>
                </c:pt>
                <c:pt idx="163">
                  <c:v>Leporillus conditor</c:v>
                </c:pt>
                <c:pt idx="164">
                  <c:v>Leporillus conditor</c:v>
                </c:pt>
                <c:pt idx="165">
                  <c:v>Leporillus conditor</c:v>
                </c:pt>
                <c:pt idx="166">
                  <c:v>Leporillus conditor</c:v>
                </c:pt>
                <c:pt idx="167">
                  <c:v>Leporillus conditor</c:v>
                </c:pt>
                <c:pt idx="168">
                  <c:v>Leporillus conditor</c:v>
                </c:pt>
                <c:pt idx="169">
                  <c:v>Leporillus conditor</c:v>
                </c:pt>
                <c:pt idx="170">
                  <c:v>Leporillus conditor</c:v>
                </c:pt>
                <c:pt idx="171">
                  <c:v>Leporillus conditor</c:v>
                </c:pt>
                <c:pt idx="172">
                  <c:v>Leporillus conditor</c:v>
                </c:pt>
                <c:pt idx="173">
                  <c:v>Leporillus conditor</c:v>
                </c:pt>
                <c:pt idx="174">
                  <c:v>Leporillus conditor</c:v>
                </c:pt>
                <c:pt idx="175">
                  <c:v>Leporillus conditor</c:v>
                </c:pt>
                <c:pt idx="176">
                  <c:v>Leporillus conditor</c:v>
                </c:pt>
                <c:pt idx="177">
                  <c:v>Leporillus conditor</c:v>
                </c:pt>
                <c:pt idx="178">
                  <c:v>Leporillus conditor</c:v>
                </c:pt>
                <c:pt idx="179">
                  <c:v>Leporillus conditor</c:v>
                </c:pt>
                <c:pt idx="180">
                  <c:v>Leporillus conditor</c:v>
                </c:pt>
                <c:pt idx="181">
                  <c:v>Leporillus conditor</c:v>
                </c:pt>
                <c:pt idx="182">
                  <c:v>Leporillus conditor</c:v>
                </c:pt>
                <c:pt idx="183">
                  <c:v>Leporillus conditor</c:v>
                </c:pt>
                <c:pt idx="184">
                  <c:v>Leporillus conditor</c:v>
                </c:pt>
                <c:pt idx="185">
                  <c:v>Leporillus conditor</c:v>
                </c:pt>
                <c:pt idx="186">
                  <c:v>Leporillus midden</c:v>
                </c:pt>
                <c:pt idx="187">
                  <c:v>Leporillus midden</c:v>
                </c:pt>
                <c:pt idx="188">
                  <c:v>Leporillus midden</c:v>
                </c:pt>
                <c:pt idx="189">
                  <c:v>Leporillus midden</c:v>
                </c:pt>
                <c:pt idx="190">
                  <c:v>Leporillus sp.</c:v>
                </c:pt>
                <c:pt idx="191">
                  <c:v>Leporillus sp.</c:v>
                </c:pt>
                <c:pt idx="192">
                  <c:v>Leporillus sp.</c:v>
                </c:pt>
                <c:pt idx="193">
                  <c:v>Leporillus sp.</c:v>
                </c:pt>
                <c:pt idx="194">
                  <c:v>Leporillus sp.</c:v>
                </c:pt>
                <c:pt idx="195">
                  <c:v>Leporillus sp.</c:v>
                </c:pt>
                <c:pt idx="196">
                  <c:v>Leporillus sp.</c:v>
                </c:pt>
                <c:pt idx="197">
                  <c:v>Leporillus sp.</c:v>
                </c:pt>
                <c:pt idx="198">
                  <c:v>Leporillus sp.</c:v>
                </c:pt>
                <c:pt idx="199">
                  <c:v>Leporillus sp.</c:v>
                </c:pt>
                <c:pt idx="200">
                  <c:v>Leporillus sp.</c:v>
                </c:pt>
                <c:pt idx="201">
                  <c:v>Leporillus sp.</c:v>
                </c:pt>
                <c:pt idx="202">
                  <c:v>Leporillus sp.</c:v>
                </c:pt>
                <c:pt idx="203">
                  <c:v>Leporillus sp.</c:v>
                </c:pt>
                <c:pt idx="204">
                  <c:v>Leporillus sp.</c:v>
                </c:pt>
                <c:pt idx="205">
                  <c:v>Leporillus sp.</c:v>
                </c:pt>
                <c:pt idx="206">
                  <c:v>Leporillus sp.</c:v>
                </c:pt>
                <c:pt idx="207">
                  <c:v>Leporillus sp.</c:v>
                </c:pt>
                <c:pt idx="208">
                  <c:v>Leporillus sp.</c:v>
                </c:pt>
                <c:pt idx="209">
                  <c:v>Leporillus sp.</c:v>
                </c:pt>
                <c:pt idx="210">
                  <c:v>Leporillus sp.</c:v>
                </c:pt>
                <c:pt idx="211">
                  <c:v>Leporillus sp.</c:v>
                </c:pt>
                <c:pt idx="212">
                  <c:v>Leporillus sp.</c:v>
                </c:pt>
                <c:pt idx="213">
                  <c:v>Leporillus sp.</c:v>
                </c:pt>
                <c:pt idx="214">
                  <c:v>Leporillus sp.</c:v>
                </c:pt>
                <c:pt idx="215">
                  <c:v>Leporillus sp.</c:v>
                </c:pt>
                <c:pt idx="216">
                  <c:v>Leporillus sp.</c:v>
                </c:pt>
                <c:pt idx="217">
                  <c:v>Leporillus sp.</c:v>
                </c:pt>
                <c:pt idx="218">
                  <c:v>Leporillus sp.</c:v>
                </c:pt>
                <c:pt idx="219">
                  <c:v>Leporillus sp.</c:v>
                </c:pt>
                <c:pt idx="220">
                  <c:v>Leporillus sp.</c:v>
                </c:pt>
                <c:pt idx="221">
                  <c:v>Leporillus sp.</c:v>
                </c:pt>
                <c:pt idx="222">
                  <c:v>Leporillus sp.</c:v>
                </c:pt>
                <c:pt idx="223">
                  <c:v>Leporillus sp.</c:v>
                </c:pt>
                <c:pt idx="224">
                  <c:v>Leporillus sp.</c:v>
                </c:pt>
                <c:pt idx="225">
                  <c:v>Leporillus sp.</c:v>
                </c:pt>
                <c:pt idx="226">
                  <c:v>Leporillus sp.</c:v>
                </c:pt>
                <c:pt idx="227">
                  <c:v>Leporillus sp.</c:v>
                </c:pt>
                <c:pt idx="228">
                  <c:v>Leporillus sp.</c:v>
                </c:pt>
                <c:pt idx="229">
                  <c:v>Leporillus sp.</c:v>
                </c:pt>
                <c:pt idx="230">
                  <c:v>Leporillus sp.</c:v>
                </c:pt>
                <c:pt idx="231">
                  <c:v>Leporillus sp.</c:v>
                </c:pt>
                <c:pt idx="232">
                  <c:v>Leporillus sp.</c:v>
                </c:pt>
                <c:pt idx="233">
                  <c:v>Leporillus sp.</c:v>
                </c:pt>
                <c:pt idx="234">
                  <c:v>Leporillus sp.</c:v>
                </c:pt>
                <c:pt idx="235">
                  <c:v>Leporillus sp.</c:v>
                </c:pt>
                <c:pt idx="236">
                  <c:v>Leporillus sp.</c:v>
                </c:pt>
                <c:pt idx="237">
                  <c:v>Leporillus sp.</c:v>
                </c:pt>
                <c:pt idx="238">
                  <c:v>Leporillus sp.</c:v>
                </c:pt>
                <c:pt idx="239">
                  <c:v>Leporillus sp.</c:v>
                </c:pt>
                <c:pt idx="240">
                  <c:v>Leporillus sp.</c:v>
                </c:pt>
                <c:pt idx="241">
                  <c:v>Leporillus sp.</c:v>
                </c:pt>
                <c:pt idx="242">
                  <c:v>Leporillus sp.</c:v>
                </c:pt>
                <c:pt idx="243">
                  <c:v>Leporillus sp.</c:v>
                </c:pt>
                <c:pt idx="244">
                  <c:v>Leporillus sp.</c:v>
                </c:pt>
                <c:pt idx="245">
                  <c:v>Leporillus sp.</c:v>
                </c:pt>
                <c:pt idx="246">
                  <c:v>Leporillus sp.</c:v>
                </c:pt>
                <c:pt idx="247">
                  <c:v>Leporillus sp.</c:v>
                </c:pt>
                <c:pt idx="248">
                  <c:v>Leporillus sp.</c:v>
                </c:pt>
                <c:pt idx="249">
                  <c:v>Leporillus sp.</c:v>
                </c:pt>
                <c:pt idx="250">
                  <c:v>Leporillus sp.</c:v>
                </c:pt>
                <c:pt idx="251">
                  <c:v>Leporillus sp.</c:v>
                </c:pt>
                <c:pt idx="252">
                  <c:v>Leporillus sp.</c:v>
                </c:pt>
                <c:pt idx="253">
                  <c:v>Leporillus sp.</c:v>
                </c:pt>
                <c:pt idx="254">
                  <c:v>Leporillus sp.</c:v>
                </c:pt>
                <c:pt idx="255">
                  <c:v>Leporillus sp.</c:v>
                </c:pt>
                <c:pt idx="256">
                  <c:v>Leporillus sp.</c:v>
                </c:pt>
                <c:pt idx="257">
                  <c:v>Leporillus sp.</c:v>
                </c:pt>
                <c:pt idx="258">
                  <c:v>Leporillus sp.</c:v>
                </c:pt>
                <c:pt idx="259">
                  <c:v>Leporillus sp.</c:v>
                </c:pt>
                <c:pt idx="260">
                  <c:v>Leporillus sp.</c:v>
                </c:pt>
                <c:pt idx="261">
                  <c:v>Leporillus sp.</c:v>
                </c:pt>
                <c:pt idx="262">
                  <c:v>Leporillus sp.</c:v>
                </c:pt>
                <c:pt idx="263">
                  <c:v>Leporillus sp.</c:v>
                </c:pt>
                <c:pt idx="264">
                  <c:v>Leporillus sp.</c:v>
                </c:pt>
                <c:pt idx="265">
                  <c:v>Leporillus sp.</c:v>
                </c:pt>
                <c:pt idx="266">
                  <c:v>Leporillus sp.</c:v>
                </c:pt>
                <c:pt idx="267">
                  <c:v>Leporillus sp.</c:v>
                </c:pt>
                <c:pt idx="268">
                  <c:v>Leporillus sp.</c:v>
                </c:pt>
                <c:pt idx="269">
                  <c:v>Leporillus sp.</c:v>
                </c:pt>
                <c:pt idx="270">
                  <c:v>Leporillus sp.</c:v>
                </c:pt>
                <c:pt idx="271">
                  <c:v>Leporillus sp.</c:v>
                </c:pt>
                <c:pt idx="272">
                  <c:v>Leporillus sp.</c:v>
                </c:pt>
                <c:pt idx="273">
                  <c:v>Leporillus sp.</c:v>
                </c:pt>
                <c:pt idx="274">
                  <c:v>Leporillus sp.</c:v>
                </c:pt>
                <c:pt idx="275">
                  <c:v>Leporillus sp.</c:v>
                </c:pt>
                <c:pt idx="276">
                  <c:v>Leporillus sp.</c:v>
                </c:pt>
                <c:pt idx="277">
                  <c:v>Leporillus sp.</c:v>
                </c:pt>
                <c:pt idx="278">
                  <c:v>Leporillus sp.</c:v>
                </c:pt>
                <c:pt idx="279">
                  <c:v>Leporillus sp.</c:v>
                </c:pt>
                <c:pt idx="280">
                  <c:v>Leporillus sp.</c:v>
                </c:pt>
                <c:pt idx="281">
                  <c:v>Leporillus sp.</c:v>
                </c:pt>
                <c:pt idx="282">
                  <c:v>Leporillus sp.</c:v>
                </c:pt>
                <c:pt idx="283">
                  <c:v>Leporillus sp.</c:v>
                </c:pt>
                <c:pt idx="284">
                  <c:v>Leporillus sp.</c:v>
                </c:pt>
                <c:pt idx="285">
                  <c:v>Leporillus sp.</c:v>
                </c:pt>
                <c:pt idx="286">
                  <c:v>Leporillus sp.</c:v>
                </c:pt>
                <c:pt idx="287">
                  <c:v>Leporillus sp.</c:v>
                </c:pt>
                <c:pt idx="288">
                  <c:v>Leporillus sp.</c:v>
                </c:pt>
                <c:pt idx="289">
                  <c:v>Leporillus sp.</c:v>
                </c:pt>
                <c:pt idx="290">
                  <c:v>Leporillus sp.</c:v>
                </c:pt>
                <c:pt idx="291">
                  <c:v>Leporillus sp.</c:v>
                </c:pt>
                <c:pt idx="292">
                  <c:v>Leporillus sp.</c:v>
                </c:pt>
                <c:pt idx="293">
                  <c:v>Leporillus sp.</c:v>
                </c:pt>
                <c:pt idx="294">
                  <c:v>Leporillus sp.</c:v>
                </c:pt>
                <c:pt idx="295">
                  <c:v>Leporillus sp.</c:v>
                </c:pt>
                <c:pt idx="296">
                  <c:v>Leporillus sp.</c:v>
                </c:pt>
                <c:pt idx="297">
                  <c:v>Leporillus sp.</c:v>
                </c:pt>
                <c:pt idx="298">
                  <c:v>Leporillus sp.</c:v>
                </c:pt>
                <c:pt idx="299">
                  <c:v>Leporillus sp.</c:v>
                </c:pt>
                <c:pt idx="300">
                  <c:v>Leporillus sp.</c:v>
                </c:pt>
                <c:pt idx="301">
                  <c:v>Leporillus sp.</c:v>
                </c:pt>
                <c:pt idx="302">
                  <c:v>Leporillus sp.</c:v>
                </c:pt>
                <c:pt idx="303">
                  <c:v>Leporillus sp.</c:v>
                </c:pt>
                <c:pt idx="304">
                  <c:v>Leporillus sp.</c:v>
                </c:pt>
                <c:pt idx="305">
                  <c:v>Leporillus sp.</c:v>
                </c:pt>
                <c:pt idx="306">
                  <c:v>Leporillus sp.</c:v>
                </c:pt>
                <c:pt idx="307">
                  <c:v>Leporillus sp.</c:v>
                </c:pt>
                <c:pt idx="308">
                  <c:v>Leporillus sp.</c:v>
                </c:pt>
                <c:pt idx="309">
                  <c:v>Leporillus sp.</c:v>
                </c:pt>
                <c:pt idx="310">
                  <c:v>Leporillus sp.</c:v>
                </c:pt>
                <c:pt idx="311">
                  <c:v>Leporillus sp.</c:v>
                </c:pt>
                <c:pt idx="312">
                  <c:v>Leporillus sp.</c:v>
                </c:pt>
                <c:pt idx="313">
                  <c:v>Leporillus sp.</c:v>
                </c:pt>
                <c:pt idx="314">
                  <c:v>Leporillus sp.</c:v>
                </c:pt>
                <c:pt idx="315">
                  <c:v>Leporillus sp.</c:v>
                </c:pt>
                <c:pt idx="316">
                  <c:v>Leporillus sp.</c:v>
                </c:pt>
                <c:pt idx="317">
                  <c:v>Leporillus sp.</c:v>
                </c:pt>
                <c:pt idx="318">
                  <c:v>Leporillus sp.</c:v>
                </c:pt>
                <c:pt idx="319">
                  <c:v>Leporillus sp.</c:v>
                </c:pt>
                <c:pt idx="320">
                  <c:v>Leporillus sp.</c:v>
                </c:pt>
                <c:pt idx="321">
                  <c:v>Leporillus sp.</c:v>
                </c:pt>
                <c:pt idx="322">
                  <c:v>Leporillus sp.</c:v>
                </c:pt>
                <c:pt idx="323">
                  <c:v>Leporillus sp.</c:v>
                </c:pt>
                <c:pt idx="324">
                  <c:v>Leporillus sp.</c:v>
                </c:pt>
                <c:pt idx="325">
                  <c:v>Leporillus sp.</c:v>
                </c:pt>
                <c:pt idx="326">
                  <c:v>Leporillus sp.</c:v>
                </c:pt>
                <c:pt idx="327">
                  <c:v>Leporillus sp.</c:v>
                </c:pt>
                <c:pt idx="328">
                  <c:v>Leporillus sp.</c:v>
                </c:pt>
                <c:pt idx="329">
                  <c:v>Leporillus sp.</c:v>
                </c:pt>
                <c:pt idx="330">
                  <c:v>Leporillus sp.</c:v>
                </c:pt>
                <c:pt idx="331">
                  <c:v>Leporillus sp.</c:v>
                </c:pt>
                <c:pt idx="332">
                  <c:v>Leporillus sp.</c:v>
                </c:pt>
                <c:pt idx="333">
                  <c:v>Leporillus sp.</c:v>
                </c:pt>
                <c:pt idx="334">
                  <c:v>Leporillus sp.</c:v>
                </c:pt>
                <c:pt idx="335">
                  <c:v>Leporillus sp.</c:v>
                </c:pt>
                <c:pt idx="336">
                  <c:v>Leporillus sp.</c:v>
                </c:pt>
                <c:pt idx="337">
                  <c:v>Leporillus sp.</c:v>
                </c:pt>
                <c:pt idx="338">
                  <c:v>Leporillus sp.</c:v>
                </c:pt>
                <c:pt idx="339">
                  <c:v>Leporillus sp.</c:v>
                </c:pt>
                <c:pt idx="340">
                  <c:v>Leporillus sp.</c:v>
                </c:pt>
                <c:pt idx="341">
                  <c:v>Leporillus sp.</c:v>
                </c:pt>
                <c:pt idx="342">
                  <c:v>Leporillus sp.</c:v>
                </c:pt>
                <c:pt idx="343">
                  <c:v>Leporillus sp.</c:v>
                </c:pt>
                <c:pt idx="344">
                  <c:v>Leporillus sp.</c:v>
                </c:pt>
                <c:pt idx="345">
                  <c:v>Leporillus sp.</c:v>
                </c:pt>
                <c:pt idx="346">
                  <c:v>Leporillus sp.</c:v>
                </c:pt>
                <c:pt idx="347">
                  <c:v>Leporillus sp.</c:v>
                </c:pt>
                <c:pt idx="348">
                  <c:v>Leporillus sp.</c:v>
                </c:pt>
                <c:pt idx="349">
                  <c:v>Leporillus sp.</c:v>
                </c:pt>
                <c:pt idx="350">
                  <c:v>Leporillus sp.</c:v>
                </c:pt>
                <c:pt idx="351">
                  <c:v>Leporillus sp.</c:v>
                </c:pt>
                <c:pt idx="352">
                  <c:v>Leporillus sp.</c:v>
                </c:pt>
                <c:pt idx="353">
                  <c:v>Leporillus sp.</c:v>
                </c:pt>
                <c:pt idx="354">
                  <c:v>Leporillus sp.</c:v>
                </c:pt>
                <c:pt idx="355">
                  <c:v>Leporillus sp.</c:v>
                </c:pt>
                <c:pt idx="356">
                  <c:v>Leporillus sp.</c:v>
                </c:pt>
                <c:pt idx="357">
                  <c:v>Leporillus sp.</c:v>
                </c:pt>
                <c:pt idx="358">
                  <c:v>Leporillus sp.</c:v>
                </c:pt>
                <c:pt idx="359">
                  <c:v>Leporillus sp.</c:v>
                </c:pt>
                <c:pt idx="360">
                  <c:v>Leporillus sp.</c:v>
                </c:pt>
                <c:pt idx="361">
                  <c:v>Leporillus sp.</c:v>
                </c:pt>
                <c:pt idx="362">
                  <c:v>Leporillus sp.</c:v>
                </c:pt>
                <c:pt idx="363">
                  <c:v>Leporillus sp.</c:v>
                </c:pt>
                <c:pt idx="364">
                  <c:v>Leporillus sp.</c:v>
                </c:pt>
                <c:pt idx="365">
                  <c:v>Leporillus sp.</c:v>
                </c:pt>
                <c:pt idx="366">
                  <c:v>Leporillus sp.</c:v>
                </c:pt>
                <c:pt idx="367">
                  <c:v>Leporillus sp.</c:v>
                </c:pt>
                <c:pt idx="368">
                  <c:v>Leporillus sp.</c:v>
                </c:pt>
                <c:pt idx="369">
                  <c:v>Leporillus sp.</c:v>
                </c:pt>
                <c:pt idx="370">
                  <c:v>Leporillus sp.</c:v>
                </c:pt>
                <c:pt idx="371">
                  <c:v>Leporillus sp.</c:v>
                </c:pt>
                <c:pt idx="372">
                  <c:v>Leporillus sp.</c:v>
                </c:pt>
                <c:pt idx="373">
                  <c:v>Leporillus sp.</c:v>
                </c:pt>
                <c:pt idx="374">
                  <c:v>Leporillus sp.</c:v>
                </c:pt>
                <c:pt idx="375">
                  <c:v>Leporillus sp.</c:v>
                </c:pt>
                <c:pt idx="376">
                  <c:v>Leporillus sp.</c:v>
                </c:pt>
                <c:pt idx="377">
                  <c:v>Leporillus sp.</c:v>
                </c:pt>
                <c:pt idx="378">
                  <c:v>Leporillus sp.</c:v>
                </c:pt>
                <c:pt idx="379">
                  <c:v>Leporillus sp.</c:v>
                </c:pt>
                <c:pt idx="380">
                  <c:v>Leporillus sp.</c:v>
                </c:pt>
                <c:pt idx="381">
                  <c:v>Leporillus sp.</c:v>
                </c:pt>
                <c:pt idx="382">
                  <c:v>Leporillus sp.</c:v>
                </c:pt>
                <c:pt idx="383">
                  <c:v>Leporillus sp.</c:v>
                </c:pt>
                <c:pt idx="384">
                  <c:v>Leporillus sp.</c:v>
                </c:pt>
                <c:pt idx="385">
                  <c:v>Leporillus sp.</c:v>
                </c:pt>
                <c:pt idx="386">
                  <c:v>Leporillus sp.</c:v>
                </c:pt>
                <c:pt idx="387">
                  <c:v>Leporillus sp.</c:v>
                </c:pt>
                <c:pt idx="388">
                  <c:v>Leporillus sp.</c:v>
                </c:pt>
                <c:pt idx="389">
                  <c:v>Leporillus sp.</c:v>
                </c:pt>
                <c:pt idx="390">
                  <c:v>Leporillus sp.</c:v>
                </c:pt>
                <c:pt idx="391">
                  <c:v>Leporillus sp.</c:v>
                </c:pt>
                <c:pt idx="392">
                  <c:v>Leporillus sp.</c:v>
                </c:pt>
                <c:pt idx="393">
                  <c:v>Leporillus sp.</c:v>
                </c:pt>
                <c:pt idx="394">
                  <c:v>Leporillus sp.</c:v>
                </c:pt>
                <c:pt idx="395">
                  <c:v>Leporillus sp.</c:v>
                </c:pt>
                <c:pt idx="396">
                  <c:v>Leporillus sp.</c:v>
                </c:pt>
                <c:pt idx="397">
                  <c:v>Leporillus sp.</c:v>
                </c:pt>
                <c:pt idx="398">
                  <c:v>Leporillus sp.</c:v>
                </c:pt>
                <c:pt idx="399">
                  <c:v>Leporillus sp.</c:v>
                </c:pt>
                <c:pt idx="400">
                  <c:v>Leporillus sp.</c:v>
                </c:pt>
                <c:pt idx="401">
                  <c:v>Leporillus sp.</c:v>
                </c:pt>
                <c:pt idx="402">
                  <c:v>Leporillus sp.</c:v>
                </c:pt>
                <c:pt idx="403">
                  <c:v>Leporillus sp.</c:v>
                </c:pt>
                <c:pt idx="404">
                  <c:v>Leporillus sp.</c:v>
                </c:pt>
                <c:pt idx="405">
                  <c:v>Leporillus sp.</c:v>
                </c:pt>
                <c:pt idx="406">
                  <c:v>Leporillus sp.</c:v>
                </c:pt>
                <c:pt idx="407">
                  <c:v>Leporillus sp.</c:v>
                </c:pt>
                <c:pt idx="408">
                  <c:v>Leporillus sp.</c:v>
                </c:pt>
                <c:pt idx="409">
                  <c:v>Leporillus sp.</c:v>
                </c:pt>
                <c:pt idx="410">
                  <c:v>Leporillus sp.</c:v>
                </c:pt>
                <c:pt idx="411">
                  <c:v>Leporillus sp.</c:v>
                </c:pt>
                <c:pt idx="412">
                  <c:v>Leporillus sp.</c:v>
                </c:pt>
                <c:pt idx="413">
                  <c:v>Leporillus sp.</c:v>
                </c:pt>
                <c:pt idx="414">
                  <c:v>Leporillus sp.</c:v>
                </c:pt>
                <c:pt idx="415">
                  <c:v>Leporillus sp.</c:v>
                </c:pt>
                <c:pt idx="416">
                  <c:v>Leporillus sp.</c:v>
                </c:pt>
                <c:pt idx="417">
                  <c:v>Leporillus sp.</c:v>
                </c:pt>
                <c:pt idx="418">
                  <c:v>Leporillus sp.</c:v>
                </c:pt>
                <c:pt idx="419">
                  <c:v>Leporillus sp.</c:v>
                </c:pt>
                <c:pt idx="420">
                  <c:v>Leporillus sp.</c:v>
                </c:pt>
                <c:pt idx="421">
                  <c:v>Leporillus sp.</c:v>
                </c:pt>
                <c:pt idx="422">
                  <c:v>Leporillus sp.</c:v>
                </c:pt>
                <c:pt idx="423">
                  <c:v>Leporillus sp.</c:v>
                </c:pt>
                <c:pt idx="424">
                  <c:v>Leporillus sp.</c:v>
                </c:pt>
                <c:pt idx="425">
                  <c:v>Leporillus sp.</c:v>
                </c:pt>
                <c:pt idx="426">
                  <c:v>Leporillus sp.</c:v>
                </c:pt>
                <c:pt idx="427">
                  <c:v>Leporillus sp.</c:v>
                </c:pt>
                <c:pt idx="428">
                  <c:v>Leporillus sp.</c:v>
                </c:pt>
                <c:pt idx="429">
                  <c:v>Leporillus sp.</c:v>
                </c:pt>
                <c:pt idx="430">
                  <c:v>Leporillus sp.</c:v>
                </c:pt>
                <c:pt idx="431">
                  <c:v>Leporillus sp.</c:v>
                </c:pt>
                <c:pt idx="432">
                  <c:v>Leporillus sp.</c:v>
                </c:pt>
                <c:pt idx="433">
                  <c:v>Leporillus sp.</c:v>
                </c:pt>
                <c:pt idx="434">
                  <c:v>Leporillus sp.</c:v>
                </c:pt>
                <c:pt idx="435">
                  <c:v>Leporillus sp.</c:v>
                </c:pt>
                <c:pt idx="436">
                  <c:v>Leporillus sp.</c:v>
                </c:pt>
                <c:pt idx="437">
                  <c:v>Leporillus sp.</c:v>
                </c:pt>
                <c:pt idx="438">
                  <c:v>Leporillus sp.</c:v>
                </c:pt>
                <c:pt idx="439">
                  <c:v>Leporillus sp.</c:v>
                </c:pt>
                <c:pt idx="440">
                  <c:v>Leporillus sp.</c:v>
                </c:pt>
                <c:pt idx="441">
                  <c:v>Leporillus sp.</c:v>
                </c:pt>
                <c:pt idx="442">
                  <c:v>Leporillus sp.</c:v>
                </c:pt>
                <c:pt idx="443">
                  <c:v>Leporillus sp.</c:v>
                </c:pt>
                <c:pt idx="444">
                  <c:v>Leporillus sp.</c:v>
                </c:pt>
                <c:pt idx="445">
                  <c:v>Leporillus sp.</c:v>
                </c:pt>
                <c:pt idx="446">
                  <c:v>Leporillus sp.</c:v>
                </c:pt>
                <c:pt idx="447">
                  <c:v>Leporillus sp.</c:v>
                </c:pt>
                <c:pt idx="448">
                  <c:v>Leporillus sp.</c:v>
                </c:pt>
                <c:pt idx="449">
                  <c:v>Leporillus sp.</c:v>
                </c:pt>
                <c:pt idx="450">
                  <c:v>Leporillus sp.</c:v>
                </c:pt>
                <c:pt idx="451">
                  <c:v>Leporillus sp.</c:v>
                </c:pt>
                <c:pt idx="452">
                  <c:v>Leporillus sp.</c:v>
                </c:pt>
                <c:pt idx="453">
                  <c:v>Leporillus sp.</c:v>
                </c:pt>
                <c:pt idx="454">
                  <c:v>Leporillus sp.</c:v>
                </c:pt>
                <c:pt idx="455">
                  <c:v>Leporillus sp.</c:v>
                </c:pt>
                <c:pt idx="456">
                  <c:v>Leporillus sp.</c:v>
                </c:pt>
                <c:pt idx="457">
                  <c:v>Leporillus sp.</c:v>
                </c:pt>
                <c:pt idx="458">
                  <c:v>Leporillus sp.</c:v>
                </c:pt>
              </c:strCache>
            </c:strRef>
          </c:xVal>
          <c:yVal>
            <c:numRef>
              <c:f>'all records'!$D$2:$D$460</c:f>
              <c:numCache>
                <c:formatCode>0.000000</c:formatCode>
                <c:ptCount val="459"/>
                <c:pt idx="0">
                  <c:v>-26.4</c:v>
                </c:pt>
                <c:pt idx="1">
                  <c:v>-24.117000000000001</c:v>
                </c:pt>
                <c:pt idx="2">
                  <c:v>-25.632999999999999</c:v>
                </c:pt>
                <c:pt idx="3">
                  <c:v>-26.6</c:v>
                </c:pt>
                <c:pt idx="4">
                  <c:v>-23.117000000000001</c:v>
                </c:pt>
                <c:pt idx="5">
                  <c:v>-22.2</c:v>
                </c:pt>
                <c:pt idx="6">
                  <c:v>-22.183</c:v>
                </c:pt>
                <c:pt idx="7">
                  <c:v>-22.216999999999999</c:v>
                </c:pt>
                <c:pt idx="8">
                  <c:v>-22.132999999999999</c:v>
                </c:pt>
                <c:pt idx="9">
                  <c:v>-22.016999999999999</c:v>
                </c:pt>
                <c:pt idx="10">
                  <c:v>-25.983000000000001</c:v>
                </c:pt>
                <c:pt idx="11">
                  <c:v>-25.35</c:v>
                </c:pt>
                <c:pt idx="12">
                  <c:v>-24.75</c:v>
                </c:pt>
                <c:pt idx="13">
                  <c:v>-29.082999999999998</c:v>
                </c:pt>
                <c:pt idx="14">
                  <c:v>-28.117000000000001</c:v>
                </c:pt>
                <c:pt idx="15">
                  <c:v>-27.466999999999999</c:v>
                </c:pt>
                <c:pt idx="16">
                  <c:v>-29.2</c:v>
                </c:pt>
                <c:pt idx="17">
                  <c:v>-23.567</c:v>
                </c:pt>
                <c:pt idx="18">
                  <c:v>-28.132999999999999</c:v>
                </c:pt>
                <c:pt idx="19">
                  <c:v>-29.567</c:v>
                </c:pt>
                <c:pt idx="20">
                  <c:v>-26.917000000000002</c:v>
                </c:pt>
                <c:pt idx="21">
                  <c:v>-25.067</c:v>
                </c:pt>
                <c:pt idx="22">
                  <c:v>-28.55</c:v>
                </c:pt>
                <c:pt idx="23">
                  <c:v>-24.05</c:v>
                </c:pt>
                <c:pt idx="24">
                  <c:v>-29.367000000000001</c:v>
                </c:pt>
                <c:pt idx="25">
                  <c:v>-23.966999999999999</c:v>
                </c:pt>
                <c:pt idx="26">
                  <c:v>-27.05</c:v>
                </c:pt>
                <c:pt idx="27">
                  <c:v>-28.117000000000001</c:v>
                </c:pt>
                <c:pt idx="28">
                  <c:v>-30.082999999999998</c:v>
                </c:pt>
                <c:pt idx="29">
                  <c:v>-26.417000000000002</c:v>
                </c:pt>
                <c:pt idx="30">
                  <c:v>-29.516999999999999</c:v>
                </c:pt>
                <c:pt idx="31">
                  <c:v>-30.082999999999998</c:v>
                </c:pt>
                <c:pt idx="32">
                  <c:v>-25.433</c:v>
                </c:pt>
                <c:pt idx="33">
                  <c:v>-25.033000000000001</c:v>
                </c:pt>
                <c:pt idx="34">
                  <c:v>-26.60000359388658</c:v>
                </c:pt>
                <c:pt idx="35">
                  <c:v>-26.6</c:v>
                </c:pt>
                <c:pt idx="36">
                  <c:v>-32.216670195722415</c:v>
                </c:pt>
                <c:pt idx="37">
                  <c:v>-31.966669920192786</c:v>
                </c:pt>
                <c:pt idx="38">
                  <c:v>-25.766999999999999</c:v>
                </c:pt>
                <c:pt idx="39">
                  <c:v>-25.766668375519782</c:v>
                </c:pt>
                <c:pt idx="40">
                  <c:v>-26.516999999999999</c:v>
                </c:pt>
                <c:pt idx="41">
                  <c:v>-26.516675087613809</c:v>
                </c:pt>
                <c:pt idx="42">
                  <c:v>-32.050003190943805</c:v>
                </c:pt>
                <c:pt idx="43">
                  <c:v>-32.06667451851645</c:v>
                </c:pt>
                <c:pt idx="44">
                  <c:v>-32.100000062828983</c:v>
                </c:pt>
                <c:pt idx="45">
                  <c:v>-26.700005847136644</c:v>
                </c:pt>
                <c:pt idx="46">
                  <c:v>-26.7</c:v>
                </c:pt>
                <c:pt idx="47">
                  <c:v>-27.200001860053746</c:v>
                </c:pt>
                <c:pt idx="48">
                  <c:v>-27.2</c:v>
                </c:pt>
                <c:pt idx="49">
                  <c:v>-31.850007684654891</c:v>
                </c:pt>
                <c:pt idx="50">
                  <c:v>-31.583339143492136</c:v>
                </c:pt>
                <c:pt idx="51">
                  <c:v>-31.966673172226823</c:v>
                </c:pt>
                <c:pt idx="52">
                  <c:v>-31.983341211053684</c:v>
                </c:pt>
                <c:pt idx="53">
                  <c:v>-31.433337192970523</c:v>
                </c:pt>
                <c:pt idx="54">
                  <c:v>-31.650000943509845</c:v>
                </c:pt>
                <c:pt idx="55">
                  <c:v>-31.650000943509845</c:v>
                </c:pt>
                <c:pt idx="56">
                  <c:v>-31.83333477294163</c:v>
                </c:pt>
                <c:pt idx="57">
                  <c:v>-31.683340805906472</c:v>
                </c:pt>
                <c:pt idx="58">
                  <c:v>-31.775005300990752</c:v>
                </c:pt>
                <c:pt idx="59">
                  <c:v>-31.766669713229184</c:v>
                </c:pt>
                <c:pt idx="60">
                  <c:v>-31.766669713229184</c:v>
                </c:pt>
                <c:pt idx="61">
                  <c:v>-31.666673342579919</c:v>
                </c:pt>
                <c:pt idx="62">
                  <c:v>-31.700000876470028</c:v>
                </c:pt>
                <c:pt idx="63">
                  <c:v>-31.716673600125294</c:v>
                </c:pt>
                <c:pt idx="64">
                  <c:v>-31.650000531334182</c:v>
                </c:pt>
                <c:pt idx="65">
                  <c:v>-31.066674992483581</c:v>
                </c:pt>
                <c:pt idx="66">
                  <c:v>-31.683341528055401</c:v>
                </c:pt>
                <c:pt idx="67">
                  <c:v>-31.533337490179314</c:v>
                </c:pt>
                <c:pt idx="68">
                  <c:v>-31.500003674349536</c:v>
                </c:pt>
                <c:pt idx="69">
                  <c:v>-26.893581422014282</c:v>
                </c:pt>
                <c:pt idx="70">
                  <c:v>-26.616672857216347</c:v>
                </c:pt>
                <c:pt idx="71">
                  <c:v>-23.8</c:v>
                </c:pt>
                <c:pt idx="72">
                  <c:v>-25.35</c:v>
                </c:pt>
                <c:pt idx="73">
                  <c:v>-25.35</c:v>
                </c:pt>
                <c:pt idx="74">
                  <c:v>-25.35</c:v>
                </c:pt>
                <c:pt idx="75">
                  <c:v>-25.35</c:v>
                </c:pt>
                <c:pt idx="76">
                  <c:v>-23.83</c:v>
                </c:pt>
                <c:pt idx="77">
                  <c:v>-30.866669999999999</c:v>
                </c:pt>
                <c:pt idx="78">
                  <c:v>-24.03</c:v>
                </c:pt>
                <c:pt idx="79">
                  <c:v>-25.96</c:v>
                </c:pt>
                <c:pt idx="80">
                  <c:v>-23.64</c:v>
                </c:pt>
                <c:pt idx="81">
                  <c:v>-25.98</c:v>
                </c:pt>
                <c:pt idx="82">
                  <c:v>-23.74</c:v>
                </c:pt>
                <c:pt idx="83">
                  <c:v>-23.66</c:v>
                </c:pt>
                <c:pt idx="84">
                  <c:v>-23.63</c:v>
                </c:pt>
                <c:pt idx="85">
                  <c:v>-23.44</c:v>
                </c:pt>
                <c:pt idx="86">
                  <c:v>-23.7</c:v>
                </c:pt>
                <c:pt idx="87">
                  <c:v>-22.35</c:v>
                </c:pt>
                <c:pt idx="88">
                  <c:v>-23.56</c:v>
                </c:pt>
                <c:pt idx="89">
                  <c:v>-22.78</c:v>
                </c:pt>
                <c:pt idx="90">
                  <c:v>-24.56</c:v>
                </c:pt>
                <c:pt idx="91">
                  <c:v>-33.433340000000001</c:v>
                </c:pt>
                <c:pt idx="92">
                  <c:v>-23.85</c:v>
                </c:pt>
                <c:pt idx="93">
                  <c:v>-23.83</c:v>
                </c:pt>
                <c:pt idx="94">
                  <c:v>-22</c:v>
                </c:pt>
                <c:pt idx="95">
                  <c:v>-22</c:v>
                </c:pt>
                <c:pt idx="96">
                  <c:v>-22</c:v>
                </c:pt>
                <c:pt idx="97">
                  <c:v>-30.583334000000001</c:v>
                </c:pt>
                <c:pt idx="98">
                  <c:v>-30.966670000000001</c:v>
                </c:pt>
                <c:pt idx="99">
                  <c:v>-34.183342000000003</c:v>
                </c:pt>
                <c:pt idx="100">
                  <c:v>-34.166670000000003</c:v>
                </c:pt>
                <c:pt idx="101">
                  <c:v>-25.75</c:v>
                </c:pt>
                <c:pt idx="102">
                  <c:v>-25.966999999999999</c:v>
                </c:pt>
                <c:pt idx="103">
                  <c:v>-26.4</c:v>
                </c:pt>
                <c:pt idx="104">
                  <c:v>-24.117000000000001</c:v>
                </c:pt>
                <c:pt idx="105">
                  <c:v>-25.632999999999999</c:v>
                </c:pt>
                <c:pt idx="106">
                  <c:v>-26.6</c:v>
                </c:pt>
                <c:pt idx="107">
                  <c:v>-23.117000000000001</c:v>
                </c:pt>
                <c:pt idx="108">
                  <c:v>-27.832999999999998</c:v>
                </c:pt>
                <c:pt idx="109">
                  <c:v>-25.983000000000001</c:v>
                </c:pt>
                <c:pt idx="110">
                  <c:v>-28.117000000000001</c:v>
                </c:pt>
                <c:pt idx="111">
                  <c:v>-28.132999999999999</c:v>
                </c:pt>
                <c:pt idx="112">
                  <c:v>-26.917000000000002</c:v>
                </c:pt>
                <c:pt idx="113">
                  <c:v>-29.016999999999999</c:v>
                </c:pt>
                <c:pt idx="114">
                  <c:v>-29.367000000000001</c:v>
                </c:pt>
                <c:pt idx="115">
                  <c:v>-28.117000000000001</c:v>
                </c:pt>
                <c:pt idx="116">
                  <c:v>-30.9</c:v>
                </c:pt>
                <c:pt idx="117">
                  <c:v>-29.516999999999999</c:v>
                </c:pt>
                <c:pt idx="118">
                  <c:v>-31.066672912338699</c:v>
                </c:pt>
                <c:pt idx="119">
                  <c:v>-31.983336964763954</c:v>
                </c:pt>
                <c:pt idx="120">
                  <c:v>-32.216670195722415</c:v>
                </c:pt>
                <c:pt idx="121">
                  <c:v>-31.966669920192786</c:v>
                </c:pt>
                <c:pt idx="122">
                  <c:v>-32.050003190943805</c:v>
                </c:pt>
                <c:pt idx="123">
                  <c:v>-32.06667451851645</c:v>
                </c:pt>
                <c:pt idx="124">
                  <c:v>-32.033337926136866</c:v>
                </c:pt>
                <c:pt idx="125">
                  <c:v>-31.983339645420322</c:v>
                </c:pt>
                <c:pt idx="126">
                  <c:v>-31.850007684654891</c:v>
                </c:pt>
                <c:pt idx="127">
                  <c:v>-31.033333942613755</c:v>
                </c:pt>
                <c:pt idx="128">
                  <c:v>-31.750007232882069</c:v>
                </c:pt>
                <c:pt idx="129">
                  <c:v>-31.966673172226823</c:v>
                </c:pt>
                <c:pt idx="130">
                  <c:v>-31.983341211053684</c:v>
                </c:pt>
                <c:pt idx="131">
                  <c:v>-30.966666761633562</c:v>
                </c:pt>
                <c:pt idx="132">
                  <c:v>-31.433337192970523</c:v>
                </c:pt>
                <c:pt idx="133">
                  <c:v>-31.6666743406835</c:v>
                </c:pt>
                <c:pt idx="134">
                  <c:v>-31.716673802217635</c:v>
                </c:pt>
                <c:pt idx="135">
                  <c:v>-31.566674443270795</c:v>
                </c:pt>
                <c:pt idx="136">
                  <c:v>-31.650000943509845</c:v>
                </c:pt>
                <c:pt idx="137">
                  <c:v>-31.650000943509845</c:v>
                </c:pt>
                <c:pt idx="138">
                  <c:v>-31.83333477294163</c:v>
                </c:pt>
                <c:pt idx="139">
                  <c:v>-31.683340805906472</c:v>
                </c:pt>
                <c:pt idx="140">
                  <c:v>-31.775005300990752</c:v>
                </c:pt>
                <c:pt idx="141">
                  <c:v>-31.766669713229184</c:v>
                </c:pt>
                <c:pt idx="142">
                  <c:v>-31.766669713229184</c:v>
                </c:pt>
                <c:pt idx="143">
                  <c:v>-31.433338723018377</c:v>
                </c:pt>
                <c:pt idx="144">
                  <c:v>-31.166670780983626</c:v>
                </c:pt>
                <c:pt idx="145">
                  <c:v>-31.666673342579919</c:v>
                </c:pt>
                <c:pt idx="146">
                  <c:v>-31.250001740621826</c:v>
                </c:pt>
                <c:pt idx="147">
                  <c:v>-31.700000876470028</c:v>
                </c:pt>
                <c:pt idx="148">
                  <c:v>-31.716673600125294</c:v>
                </c:pt>
                <c:pt idx="149">
                  <c:v>-31.650000531334182</c:v>
                </c:pt>
                <c:pt idx="150">
                  <c:v>-31.400005043494403</c:v>
                </c:pt>
                <c:pt idx="151">
                  <c:v>-30.483338101848702</c:v>
                </c:pt>
                <c:pt idx="152">
                  <c:v>-30.483000000000001</c:v>
                </c:pt>
                <c:pt idx="153">
                  <c:v>-31.066674992483581</c:v>
                </c:pt>
                <c:pt idx="154">
                  <c:v>-31.683341528055401</c:v>
                </c:pt>
                <c:pt idx="155">
                  <c:v>-31.533337490179314</c:v>
                </c:pt>
                <c:pt idx="156">
                  <c:v>-29.750005231182612</c:v>
                </c:pt>
                <c:pt idx="157">
                  <c:v>-31.400003850662603</c:v>
                </c:pt>
                <c:pt idx="158">
                  <c:v>-31.500003674349536</c:v>
                </c:pt>
                <c:pt idx="159">
                  <c:v>-30.550008029157617</c:v>
                </c:pt>
                <c:pt idx="160">
                  <c:v>-30.25000357260447</c:v>
                </c:pt>
                <c:pt idx="161">
                  <c:v>-30.583341422105857</c:v>
                </c:pt>
                <c:pt idx="162">
                  <c:v>-30.583341422105857</c:v>
                </c:pt>
                <c:pt idx="163">
                  <c:v>-30.583341422105857</c:v>
                </c:pt>
                <c:pt idx="164">
                  <c:v>-30.583341422105857</c:v>
                </c:pt>
                <c:pt idx="165">
                  <c:v>-30.450002674936943</c:v>
                </c:pt>
                <c:pt idx="166">
                  <c:v>-30.450002674936943</c:v>
                </c:pt>
                <c:pt idx="167">
                  <c:v>-30.450002674936943</c:v>
                </c:pt>
                <c:pt idx="168">
                  <c:v>-30.466669955720231</c:v>
                </c:pt>
                <c:pt idx="169">
                  <c:v>-32.450006999999999</c:v>
                </c:pt>
                <c:pt idx="170">
                  <c:v>-32.450004</c:v>
                </c:pt>
                <c:pt idx="171">
                  <c:v>-32.450004</c:v>
                </c:pt>
                <c:pt idx="172">
                  <c:v>-32.450004</c:v>
                </c:pt>
                <c:pt idx="173">
                  <c:v>-27.966674999999999</c:v>
                </c:pt>
                <c:pt idx="174">
                  <c:v>-34.516666999999998</c:v>
                </c:pt>
                <c:pt idx="175">
                  <c:v>-28.500004000000001</c:v>
                </c:pt>
                <c:pt idx="176">
                  <c:v>-30.258890999999998</c:v>
                </c:pt>
                <c:pt idx="177">
                  <c:v>-30.550001000000002</c:v>
                </c:pt>
                <c:pt idx="178">
                  <c:v>-29.389538999999999</c:v>
                </c:pt>
                <c:pt idx="179">
                  <c:v>-31.104990999999998</c:v>
                </c:pt>
                <c:pt idx="180">
                  <c:v>-30.174112000000001</c:v>
                </c:pt>
                <c:pt idx="181">
                  <c:v>-30.966670000000001</c:v>
                </c:pt>
                <c:pt idx="182">
                  <c:v>-33.950004</c:v>
                </c:pt>
                <c:pt idx="183">
                  <c:v>-33.950004</c:v>
                </c:pt>
                <c:pt idx="184">
                  <c:v>-33.950004</c:v>
                </c:pt>
                <c:pt idx="185">
                  <c:v>-32.666671999999998</c:v>
                </c:pt>
                <c:pt idx="186">
                  <c:v>-23.61664</c:v>
                </c:pt>
                <c:pt idx="187">
                  <c:v>-23.2666</c:v>
                </c:pt>
                <c:pt idx="188">
                  <c:v>-22</c:v>
                </c:pt>
                <c:pt idx="189">
                  <c:v>-22.004444444444399</c:v>
                </c:pt>
                <c:pt idx="190">
                  <c:v>0</c:v>
                </c:pt>
                <c:pt idx="191">
                  <c:v>-30.5</c:v>
                </c:pt>
                <c:pt idx="192">
                  <c:v>-30.5</c:v>
                </c:pt>
                <c:pt idx="193">
                  <c:v>-28.419722222222223</c:v>
                </c:pt>
                <c:pt idx="194">
                  <c:v>-28.419722222222223</c:v>
                </c:pt>
                <c:pt idx="195">
                  <c:v>-30.328888888888887</c:v>
                </c:pt>
                <c:pt idx="196">
                  <c:v>-30.328888888888887</c:v>
                </c:pt>
                <c:pt idx="197">
                  <c:v>-30.328888888888887</c:v>
                </c:pt>
                <c:pt idx="198">
                  <c:v>-30.328888888888887</c:v>
                </c:pt>
                <c:pt idx="199">
                  <c:v>-30.328888888888887</c:v>
                </c:pt>
                <c:pt idx="200">
                  <c:v>-25.05</c:v>
                </c:pt>
                <c:pt idx="201">
                  <c:v>-25.05</c:v>
                </c:pt>
                <c:pt idx="202">
                  <c:v>-25.05</c:v>
                </c:pt>
                <c:pt idx="203">
                  <c:v>-25.05</c:v>
                </c:pt>
                <c:pt idx="204">
                  <c:v>-25.05</c:v>
                </c:pt>
                <c:pt idx="205">
                  <c:v>-25.05</c:v>
                </c:pt>
                <c:pt idx="206">
                  <c:v>-25.066671958656542</c:v>
                </c:pt>
                <c:pt idx="207">
                  <c:v>-25.183336997400581</c:v>
                </c:pt>
                <c:pt idx="208">
                  <c:v>-25.550001401957275</c:v>
                </c:pt>
                <c:pt idx="209">
                  <c:v>-31.016668112708739</c:v>
                </c:pt>
                <c:pt idx="210">
                  <c:v>-26.961112555242494</c:v>
                </c:pt>
                <c:pt idx="211">
                  <c:v>-25.716670659143855</c:v>
                </c:pt>
                <c:pt idx="212">
                  <c:v>-25.247227329824295</c:v>
                </c:pt>
                <c:pt idx="213">
                  <c:v>-25.650005663212461</c:v>
                </c:pt>
                <c:pt idx="214">
                  <c:v>-25.05000248417204</c:v>
                </c:pt>
                <c:pt idx="215">
                  <c:v>-27.100003909878268</c:v>
                </c:pt>
                <c:pt idx="216">
                  <c:v>-26.850007105790201</c:v>
                </c:pt>
                <c:pt idx="217">
                  <c:v>-26.850007105790201</c:v>
                </c:pt>
                <c:pt idx="218">
                  <c:v>-26.60000359388658</c:v>
                </c:pt>
                <c:pt idx="219">
                  <c:v>-25.772228340572386</c:v>
                </c:pt>
                <c:pt idx="220">
                  <c:v>-26.783336069980294</c:v>
                </c:pt>
                <c:pt idx="221">
                  <c:v>-26.050008780811122</c:v>
                </c:pt>
                <c:pt idx="222">
                  <c:v>-26.516670009519153</c:v>
                </c:pt>
                <c:pt idx="223">
                  <c:v>-26.516670009519153</c:v>
                </c:pt>
                <c:pt idx="224">
                  <c:v>-28.30000836453808</c:v>
                </c:pt>
                <c:pt idx="225">
                  <c:v>-25.750004369324941</c:v>
                </c:pt>
                <c:pt idx="226">
                  <c:v>-27.000001245503221</c:v>
                </c:pt>
                <c:pt idx="227">
                  <c:v>-27.050003408329328</c:v>
                </c:pt>
                <c:pt idx="228">
                  <c:v>-26.833334655980345</c:v>
                </c:pt>
                <c:pt idx="229">
                  <c:v>-26.831950495181164</c:v>
                </c:pt>
                <c:pt idx="230">
                  <c:v>-27.066667236916281</c:v>
                </c:pt>
                <c:pt idx="231">
                  <c:v>-27.23333947293402</c:v>
                </c:pt>
                <c:pt idx="232">
                  <c:v>-26.758333987917265</c:v>
                </c:pt>
                <c:pt idx="233">
                  <c:v>-26.666673118023041</c:v>
                </c:pt>
                <c:pt idx="234">
                  <c:v>-27.166672639859293</c:v>
                </c:pt>
                <c:pt idx="235">
                  <c:v>-26.600004453533963</c:v>
                </c:pt>
                <c:pt idx="236">
                  <c:v>-25.800006733827765</c:v>
                </c:pt>
                <c:pt idx="237">
                  <c:v>-26.183335833102536</c:v>
                </c:pt>
                <c:pt idx="238">
                  <c:v>-26.158333333333331</c:v>
                </c:pt>
                <c:pt idx="239">
                  <c:v>-28.750002343816011</c:v>
                </c:pt>
                <c:pt idx="240">
                  <c:v>-28.916667066488106</c:v>
                </c:pt>
                <c:pt idx="241">
                  <c:v>-25.916673774814594</c:v>
                </c:pt>
                <c:pt idx="242">
                  <c:v>-31.366675679256065</c:v>
                </c:pt>
                <c:pt idx="243">
                  <c:v>-26.450008358447572</c:v>
                </c:pt>
                <c:pt idx="244">
                  <c:v>-31.323619340093831</c:v>
                </c:pt>
                <c:pt idx="245">
                  <c:v>-31.322227246634359</c:v>
                </c:pt>
                <c:pt idx="246">
                  <c:v>-31.202778636990612</c:v>
                </c:pt>
                <c:pt idx="247">
                  <c:v>-31.366672285473722</c:v>
                </c:pt>
                <c:pt idx="248">
                  <c:v>-31.248612038045145</c:v>
                </c:pt>
                <c:pt idx="249">
                  <c:v>-31.155558249132323</c:v>
                </c:pt>
                <c:pt idx="250">
                  <c:v>-31.294446991551716</c:v>
                </c:pt>
                <c:pt idx="251">
                  <c:v>-31.027786226829548</c:v>
                </c:pt>
                <c:pt idx="252">
                  <c:v>-31.033342176843497</c:v>
                </c:pt>
                <c:pt idx="253">
                  <c:v>-24.316666666666666</c:v>
                </c:pt>
                <c:pt idx="254">
                  <c:v>-24.316666666666666</c:v>
                </c:pt>
                <c:pt idx="255">
                  <c:v>-24.433333333333334</c:v>
                </c:pt>
                <c:pt idx="256">
                  <c:v>-24.433333333333334</c:v>
                </c:pt>
                <c:pt idx="257">
                  <c:v>-24.433333333333334</c:v>
                </c:pt>
                <c:pt idx="258">
                  <c:v>-24.433333333333334</c:v>
                </c:pt>
                <c:pt idx="259">
                  <c:v>-24.433333333333334</c:v>
                </c:pt>
                <c:pt idx="260">
                  <c:v>-27.033334</c:v>
                </c:pt>
                <c:pt idx="261">
                  <c:v>-24</c:v>
                </c:pt>
                <c:pt idx="262">
                  <c:v>-24</c:v>
                </c:pt>
                <c:pt idx="263">
                  <c:v>-26.583338999999999</c:v>
                </c:pt>
                <c:pt idx="264">
                  <c:v>-26.566672000000001</c:v>
                </c:pt>
                <c:pt idx="265">
                  <c:v>-26.983335</c:v>
                </c:pt>
                <c:pt idx="266">
                  <c:v>-26.953055555555554</c:v>
                </c:pt>
                <c:pt idx="267">
                  <c:v>-26.950005999999998</c:v>
                </c:pt>
                <c:pt idx="268">
                  <c:v>-26.950008</c:v>
                </c:pt>
                <c:pt idx="269">
                  <c:v>-26.041671999999998</c:v>
                </c:pt>
                <c:pt idx="270">
                  <c:v>-25.800008999999999</c:v>
                </c:pt>
                <c:pt idx="271">
                  <c:v>-25.891670999999999</c:v>
                </c:pt>
                <c:pt idx="272">
                  <c:v>-25.883337000000001</c:v>
                </c:pt>
                <c:pt idx="273">
                  <c:v>-25.958335999999999</c:v>
                </c:pt>
                <c:pt idx="274">
                  <c:v>-28.166668999999999</c:v>
                </c:pt>
                <c:pt idx="275">
                  <c:v>-27.966674999999999</c:v>
                </c:pt>
                <c:pt idx="276">
                  <c:v>-27.966674999999999</c:v>
                </c:pt>
                <c:pt idx="277">
                  <c:v>-25.83</c:v>
                </c:pt>
                <c:pt idx="278">
                  <c:v>-25.83</c:v>
                </c:pt>
                <c:pt idx="279">
                  <c:v>-25.83</c:v>
                </c:pt>
                <c:pt idx="280">
                  <c:v>-25.83</c:v>
                </c:pt>
                <c:pt idx="281">
                  <c:v>-25.83</c:v>
                </c:pt>
                <c:pt idx="282">
                  <c:v>-25.83</c:v>
                </c:pt>
                <c:pt idx="283">
                  <c:v>-25.83</c:v>
                </c:pt>
                <c:pt idx="284">
                  <c:v>-25.83</c:v>
                </c:pt>
                <c:pt idx="285">
                  <c:v>-25.83</c:v>
                </c:pt>
                <c:pt idx="286">
                  <c:v>-25.83</c:v>
                </c:pt>
                <c:pt idx="287">
                  <c:v>-25.83</c:v>
                </c:pt>
                <c:pt idx="288">
                  <c:v>-25.83</c:v>
                </c:pt>
                <c:pt idx="289">
                  <c:v>-25.83</c:v>
                </c:pt>
                <c:pt idx="290">
                  <c:v>-25.83</c:v>
                </c:pt>
                <c:pt idx="291">
                  <c:v>-25.83</c:v>
                </c:pt>
                <c:pt idx="292">
                  <c:v>-25.83</c:v>
                </c:pt>
                <c:pt idx="293">
                  <c:v>-25.83</c:v>
                </c:pt>
                <c:pt idx="294">
                  <c:v>-25.83</c:v>
                </c:pt>
                <c:pt idx="295">
                  <c:v>-25.83</c:v>
                </c:pt>
                <c:pt idx="296">
                  <c:v>-25.83</c:v>
                </c:pt>
                <c:pt idx="297">
                  <c:v>-25.83</c:v>
                </c:pt>
                <c:pt idx="298">
                  <c:v>-25.83</c:v>
                </c:pt>
                <c:pt idx="299">
                  <c:v>-25.83</c:v>
                </c:pt>
                <c:pt idx="300">
                  <c:v>-25.83</c:v>
                </c:pt>
                <c:pt idx="301">
                  <c:v>-25.83</c:v>
                </c:pt>
                <c:pt idx="302">
                  <c:v>-25.83</c:v>
                </c:pt>
                <c:pt idx="303">
                  <c:v>-28.225002</c:v>
                </c:pt>
                <c:pt idx="304">
                  <c:v>-28.183335</c:v>
                </c:pt>
                <c:pt idx="305">
                  <c:v>-26.200005000000001</c:v>
                </c:pt>
                <c:pt idx="306">
                  <c:v>-27.883338999999999</c:v>
                </c:pt>
                <c:pt idx="307">
                  <c:v>-27.900002000000001</c:v>
                </c:pt>
                <c:pt idx="308">
                  <c:v>-28.200006999999999</c:v>
                </c:pt>
                <c:pt idx="309">
                  <c:v>-28.200006999999999</c:v>
                </c:pt>
                <c:pt idx="310">
                  <c:v>-27.933336000000001</c:v>
                </c:pt>
                <c:pt idx="311">
                  <c:v>-27.885555555555555</c:v>
                </c:pt>
                <c:pt idx="312">
                  <c:v>-27.885555555555555</c:v>
                </c:pt>
                <c:pt idx="313">
                  <c:v>-27.885555555555555</c:v>
                </c:pt>
                <c:pt idx="314">
                  <c:v>-27.885555555555555</c:v>
                </c:pt>
                <c:pt idx="315">
                  <c:v>-27.885555555555555</c:v>
                </c:pt>
                <c:pt idx="316">
                  <c:v>-27.885555555555555</c:v>
                </c:pt>
                <c:pt idx="317">
                  <c:v>-27.885555555555555</c:v>
                </c:pt>
                <c:pt idx="318">
                  <c:v>-27.885555555555555</c:v>
                </c:pt>
                <c:pt idx="319">
                  <c:v>-27.885555555555555</c:v>
                </c:pt>
                <c:pt idx="320">
                  <c:v>-27.885555555555555</c:v>
                </c:pt>
                <c:pt idx="321">
                  <c:v>-28.025003000000002</c:v>
                </c:pt>
                <c:pt idx="322">
                  <c:v>-28.533334</c:v>
                </c:pt>
                <c:pt idx="323">
                  <c:v>-23.5</c:v>
                </c:pt>
                <c:pt idx="324">
                  <c:v>-27.387250000000002</c:v>
                </c:pt>
                <c:pt idx="325">
                  <c:v>-28.800001000000002</c:v>
                </c:pt>
                <c:pt idx="326">
                  <c:v>-27.700008</c:v>
                </c:pt>
                <c:pt idx="327">
                  <c:v>-27.900006999999999</c:v>
                </c:pt>
                <c:pt idx="328">
                  <c:v>-23.45</c:v>
                </c:pt>
                <c:pt idx="329">
                  <c:v>-23.45</c:v>
                </c:pt>
                <c:pt idx="330">
                  <c:v>-23.45</c:v>
                </c:pt>
                <c:pt idx="331">
                  <c:v>-23.45</c:v>
                </c:pt>
                <c:pt idx="332">
                  <c:v>-23.45</c:v>
                </c:pt>
                <c:pt idx="333">
                  <c:v>-23.45</c:v>
                </c:pt>
                <c:pt idx="334">
                  <c:v>-29.433342</c:v>
                </c:pt>
                <c:pt idx="335">
                  <c:v>-25.883341999999999</c:v>
                </c:pt>
                <c:pt idx="336">
                  <c:v>-25.883341999999999</c:v>
                </c:pt>
                <c:pt idx="337">
                  <c:v>-26.216676</c:v>
                </c:pt>
                <c:pt idx="338">
                  <c:v>-32.385579999999997</c:v>
                </c:pt>
                <c:pt idx="339">
                  <c:v>-34.583336000000003</c:v>
                </c:pt>
                <c:pt idx="340">
                  <c:v>-27.666671000000001</c:v>
                </c:pt>
                <c:pt idx="341">
                  <c:v>-31.183337000000002</c:v>
                </c:pt>
                <c:pt idx="342">
                  <c:v>-33.200001999999998</c:v>
                </c:pt>
                <c:pt idx="343">
                  <c:v>-33.016666999999998</c:v>
                </c:pt>
                <c:pt idx="344">
                  <c:v>-33.033341</c:v>
                </c:pt>
                <c:pt idx="345">
                  <c:v>-33.050006000000003</c:v>
                </c:pt>
                <c:pt idx="346">
                  <c:v>-32.750000999999997</c:v>
                </c:pt>
                <c:pt idx="347">
                  <c:v>-29.500005000000002</c:v>
                </c:pt>
                <c:pt idx="348">
                  <c:v>-32.083337999999998</c:v>
                </c:pt>
                <c:pt idx="349">
                  <c:v>-30.550001000000002</c:v>
                </c:pt>
                <c:pt idx="350">
                  <c:v>-31.35</c:v>
                </c:pt>
                <c:pt idx="351">
                  <c:v>-31.35</c:v>
                </c:pt>
                <c:pt idx="352">
                  <c:v>-31.35</c:v>
                </c:pt>
                <c:pt idx="353">
                  <c:v>-31.35</c:v>
                </c:pt>
                <c:pt idx="354">
                  <c:v>-31.35</c:v>
                </c:pt>
                <c:pt idx="355">
                  <c:v>-31.35</c:v>
                </c:pt>
                <c:pt idx="356">
                  <c:v>-31.35</c:v>
                </c:pt>
                <c:pt idx="357">
                  <c:v>-31.35</c:v>
                </c:pt>
                <c:pt idx="358">
                  <c:v>-31.35</c:v>
                </c:pt>
                <c:pt idx="359">
                  <c:v>-31.35</c:v>
                </c:pt>
                <c:pt idx="360">
                  <c:v>-31.35</c:v>
                </c:pt>
                <c:pt idx="361">
                  <c:v>-31.35</c:v>
                </c:pt>
                <c:pt idx="362">
                  <c:v>-31.35</c:v>
                </c:pt>
                <c:pt idx="363">
                  <c:v>-31.35</c:v>
                </c:pt>
                <c:pt idx="364">
                  <c:v>-31.35</c:v>
                </c:pt>
                <c:pt idx="365">
                  <c:v>-31.35</c:v>
                </c:pt>
                <c:pt idx="366">
                  <c:v>-31.35</c:v>
                </c:pt>
                <c:pt idx="367">
                  <c:v>-31.35</c:v>
                </c:pt>
                <c:pt idx="368">
                  <c:v>-31.35</c:v>
                </c:pt>
                <c:pt idx="369">
                  <c:v>-31.35</c:v>
                </c:pt>
                <c:pt idx="370">
                  <c:v>-31.35</c:v>
                </c:pt>
                <c:pt idx="371">
                  <c:v>-31.35</c:v>
                </c:pt>
                <c:pt idx="372">
                  <c:v>-31.500001999999999</c:v>
                </c:pt>
                <c:pt idx="373">
                  <c:v>-29.392106999999999</c:v>
                </c:pt>
                <c:pt idx="374">
                  <c:v>-30.340722</c:v>
                </c:pt>
                <c:pt idx="375">
                  <c:v>-31.500005999999999</c:v>
                </c:pt>
                <c:pt idx="376">
                  <c:v>-32.15</c:v>
                </c:pt>
                <c:pt idx="377">
                  <c:v>-32.15</c:v>
                </c:pt>
                <c:pt idx="378">
                  <c:v>-32.15</c:v>
                </c:pt>
                <c:pt idx="379">
                  <c:v>-30.566666999999999</c:v>
                </c:pt>
                <c:pt idx="380">
                  <c:v>-30.683335</c:v>
                </c:pt>
                <c:pt idx="381">
                  <c:v>-30.966673</c:v>
                </c:pt>
                <c:pt idx="382">
                  <c:v>-30.175476</c:v>
                </c:pt>
                <c:pt idx="383">
                  <c:v>-30.666668000000001</c:v>
                </c:pt>
                <c:pt idx="384">
                  <c:v>-30.966666666666665</c:v>
                </c:pt>
                <c:pt idx="385">
                  <c:v>-30.966666666666665</c:v>
                </c:pt>
                <c:pt idx="386">
                  <c:v>-30.966666666666665</c:v>
                </c:pt>
                <c:pt idx="387">
                  <c:v>-30.966666666666665</c:v>
                </c:pt>
                <c:pt idx="388">
                  <c:v>-30.966666666666665</c:v>
                </c:pt>
                <c:pt idx="389">
                  <c:v>-30.966666666666665</c:v>
                </c:pt>
                <c:pt idx="390">
                  <c:v>-30.966666666666665</c:v>
                </c:pt>
                <c:pt idx="391">
                  <c:v>-30.966666666666665</c:v>
                </c:pt>
                <c:pt idx="392">
                  <c:v>-30.966666666666665</c:v>
                </c:pt>
                <c:pt idx="393">
                  <c:v>-30.966666666666665</c:v>
                </c:pt>
                <c:pt idx="394">
                  <c:v>-30.966666666666665</c:v>
                </c:pt>
                <c:pt idx="395">
                  <c:v>-30.966666666666665</c:v>
                </c:pt>
                <c:pt idx="396">
                  <c:v>-30.966666666666665</c:v>
                </c:pt>
                <c:pt idx="397">
                  <c:v>-30.333333333333332</c:v>
                </c:pt>
                <c:pt idx="398">
                  <c:v>-30.333333333333332</c:v>
                </c:pt>
                <c:pt idx="399">
                  <c:v>-30.333333333333332</c:v>
                </c:pt>
                <c:pt idx="400">
                  <c:v>-30.333333333333332</c:v>
                </c:pt>
                <c:pt idx="401">
                  <c:v>-30.333333333333332</c:v>
                </c:pt>
                <c:pt idx="402">
                  <c:v>-30.333333333333332</c:v>
                </c:pt>
                <c:pt idx="403">
                  <c:v>-30.333333333333332</c:v>
                </c:pt>
                <c:pt idx="404">
                  <c:v>-30.333333333333332</c:v>
                </c:pt>
                <c:pt idx="405">
                  <c:v>-30.333333333333332</c:v>
                </c:pt>
                <c:pt idx="406">
                  <c:v>-30.333333333333332</c:v>
                </c:pt>
                <c:pt idx="407">
                  <c:v>-30.333333333333332</c:v>
                </c:pt>
                <c:pt idx="408">
                  <c:v>-30.333333333333332</c:v>
                </c:pt>
                <c:pt idx="409">
                  <c:v>-30.333333333333332</c:v>
                </c:pt>
                <c:pt idx="410">
                  <c:v>-32.050001999999999</c:v>
                </c:pt>
                <c:pt idx="411">
                  <c:v>-32.719478000000002</c:v>
                </c:pt>
                <c:pt idx="412">
                  <c:v>-32.716669000000003</c:v>
                </c:pt>
                <c:pt idx="413">
                  <c:v>-34.225009</c:v>
                </c:pt>
                <c:pt idx="414">
                  <c:v>-37.833334000000001</c:v>
                </c:pt>
                <c:pt idx="415">
                  <c:v>-32.450007999999997</c:v>
                </c:pt>
                <c:pt idx="416">
                  <c:v>-31.183336000000001</c:v>
                </c:pt>
                <c:pt idx="417">
                  <c:v>-29.083341000000001</c:v>
                </c:pt>
                <c:pt idx="418">
                  <c:v>-29.083337</c:v>
                </c:pt>
                <c:pt idx="419">
                  <c:v>-29.033332999999999</c:v>
                </c:pt>
                <c:pt idx="420">
                  <c:v>-32.666671999999998</c:v>
                </c:pt>
                <c:pt idx="421">
                  <c:v>-31.066666666666666</c:v>
                </c:pt>
                <c:pt idx="422">
                  <c:v>-31.066666666666666</c:v>
                </c:pt>
                <c:pt idx="423">
                  <c:v>-31.066666666666666</c:v>
                </c:pt>
                <c:pt idx="424">
                  <c:v>-31.066666666666666</c:v>
                </c:pt>
                <c:pt idx="425">
                  <c:v>-31.066666666666666</c:v>
                </c:pt>
                <c:pt idx="426">
                  <c:v>-31.066666666666666</c:v>
                </c:pt>
                <c:pt idx="427">
                  <c:v>-31.066666666666666</c:v>
                </c:pt>
                <c:pt idx="428">
                  <c:v>-31.066666666666666</c:v>
                </c:pt>
                <c:pt idx="429">
                  <c:v>-31.066666666666666</c:v>
                </c:pt>
                <c:pt idx="430">
                  <c:v>-31.066666666666666</c:v>
                </c:pt>
                <c:pt idx="431">
                  <c:v>-31.066666666666666</c:v>
                </c:pt>
                <c:pt idx="432">
                  <c:v>-31.066666666666666</c:v>
                </c:pt>
                <c:pt idx="433">
                  <c:v>-31.066666666666666</c:v>
                </c:pt>
                <c:pt idx="434">
                  <c:v>-31.066666666666666</c:v>
                </c:pt>
                <c:pt idx="435">
                  <c:v>-30.066666666666666</c:v>
                </c:pt>
                <c:pt idx="436">
                  <c:v>-30.066666666666666</c:v>
                </c:pt>
                <c:pt idx="437">
                  <c:v>-30.066666666666666</c:v>
                </c:pt>
                <c:pt idx="438">
                  <c:v>-30.066666666666666</c:v>
                </c:pt>
                <c:pt idx="439">
                  <c:v>-30.066666666666666</c:v>
                </c:pt>
                <c:pt idx="440">
                  <c:v>-30.066666666666666</c:v>
                </c:pt>
                <c:pt idx="441">
                  <c:v>-30.066666666666666</c:v>
                </c:pt>
                <c:pt idx="442">
                  <c:v>-30.066666666666666</c:v>
                </c:pt>
                <c:pt idx="443">
                  <c:v>-30.066666666666666</c:v>
                </c:pt>
                <c:pt idx="444">
                  <c:v>-30.066666666666666</c:v>
                </c:pt>
                <c:pt idx="445">
                  <c:v>-30.066666666666666</c:v>
                </c:pt>
                <c:pt idx="446">
                  <c:v>-30.066666666666666</c:v>
                </c:pt>
                <c:pt idx="447">
                  <c:v>-31.166666666666668</c:v>
                </c:pt>
                <c:pt idx="448">
                  <c:v>-31.166666666666668</c:v>
                </c:pt>
                <c:pt idx="449">
                  <c:v>-31.166666666666668</c:v>
                </c:pt>
                <c:pt idx="450">
                  <c:v>-31.166666666666668</c:v>
                </c:pt>
                <c:pt idx="451">
                  <c:v>-31.166666666666668</c:v>
                </c:pt>
                <c:pt idx="452">
                  <c:v>-31.166666666666668</c:v>
                </c:pt>
                <c:pt idx="453">
                  <c:v>-31.166666666666668</c:v>
                </c:pt>
                <c:pt idx="454">
                  <c:v>-31.166666666666668</c:v>
                </c:pt>
                <c:pt idx="455">
                  <c:v>-31.166666666666668</c:v>
                </c:pt>
                <c:pt idx="456">
                  <c:v>-30.866666666666667</c:v>
                </c:pt>
                <c:pt idx="457">
                  <c:v>-30.866666666666667</c:v>
                </c:pt>
                <c:pt idx="458">
                  <c:v>-31.116669999999999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C-4ECA-8693-90C1E3DB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950304"/>
        <c:axId val="1"/>
      </c:scatterChart>
      <c:valAx>
        <c:axId val="1087950304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-20"/>
          <c:min val="-3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79503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Separate Distribution</a:t>
            </a:r>
          </a:p>
        </c:rich>
      </c:tx>
      <c:layout>
        <c:manualLayout>
          <c:xMode val="edge"/>
          <c:yMode val="edge"/>
          <c:x val="0.41985522233712513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491209927611172E-2"/>
          <c:y val="0.12203389830508475"/>
          <c:w val="0.85005170630816962"/>
          <c:h val="0.8"/>
        </c:manualLayout>
      </c:layout>
      <c:scatterChart>
        <c:scatterStyle val="lineMarker"/>
        <c:varyColors val="0"/>
        <c:ser>
          <c:idx val="0"/>
          <c:order val="0"/>
          <c:tx>
            <c:strRef>
              <c:f>Separate_Data!$D$1</c:f>
              <c:strCache>
                <c:ptCount val="1"/>
                <c:pt idx="0">
                  <c:v>Leporillus apicalis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Separate_Data!$C$2:$C$560</c:f>
              <c:numCache>
                <c:formatCode>0.000000</c:formatCode>
                <c:ptCount val="559"/>
                <c:pt idx="0">
                  <c:v>142.166664</c:v>
                </c:pt>
                <c:pt idx="1">
                  <c:v>142.18332599999999</c:v>
                </c:pt>
                <c:pt idx="2">
                  <c:v>136.16666000000001</c:v>
                </c:pt>
                <c:pt idx="3">
                  <c:v>125.88332589087337</c:v>
                </c:pt>
                <c:pt idx="4">
                  <c:v>126.18333304260975</c:v>
                </c:pt>
                <c:pt idx="5">
                  <c:v>126.03332882986672</c:v>
                </c:pt>
                <c:pt idx="6">
                  <c:v>126.03332736910907</c:v>
                </c:pt>
                <c:pt idx="7">
                  <c:v>127.03332876663272</c:v>
                </c:pt>
                <c:pt idx="8">
                  <c:v>127.03332457729357</c:v>
                </c:pt>
                <c:pt idx="9">
                  <c:v>125.91666592057311</c:v>
                </c:pt>
                <c:pt idx="10">
                  <c:v>126.73332634405332</c:v>
                </c:pt>
                <c:pt idx="11">
                  <c:v>127.71666062389029</c:v>
                </c:pt>
                <c:pt idx="12">
                  <c:v>127.79999437308508</c:v>
                </c:pt>
                <c:pt idx="13">
                  <c:v>127.79999638903517</c:v>
                </c:pt>
                <c:pt idx="14">
                  <c:v>127.79999638903517</c:v>
                </c:pt>
                <c:pt idx="15">
                  <c:v>128.48333202306591</c:v>
                </c:pt>
                <c:pt idx="16">
                  <c:v>128.48332947992145</c:v>
                </c:pt>
                <c:pt idx="17">
                  <c:v>129.03333021296604</c:v>
                </c:pt>
                <c:pt idx="18">
                  <c:v>127.71666116878031</c:v>
                </c:pt>
                <c:pt idx="19">
                  <c:v>128.48332416590603</c:v>
                </c:pt>
                <c:pt idx="20">
                  <c:v>127.43332620260664</c:v>
                </c:pt>
                <c:pt idx="21">
                  <c:v>127.43332620260664</c:v>
                </c:pt>
                <c:pt idx="22">
                  <c:v>128.48333204168273</c:v>
                </c:pt>
                <c:pt idx="23">
                  <c:v>127.01666054318713</c:v>
                </c:pt>
                <c:pt idx="24">
                  <c:v>129.09999897198571</c:v>
                </c:pt>
                <c:pt idx="25">
                  <c:v>129.91665993942641</c:v>
                </c:pt>
                <c:pt idx="26">
                  <c:v>127.18333042201293</c:v>
                </c:pt>
                <c:pt idx="27">
                  <c:v>128.74998967975071</c:v>
                </c:pt>
                <c:pt idx="28">
                  <c:v>139.28332900000001</c:v>
                </c:pt>
                <c:pt idx="29">
                  <c:v>132.166661</c:v>
                </c:pt>
                <c:pt idx="30">
                  <c:v>138.36666099999999</c:v>
                </c:pt>
                <c:pt idx="31" formatCode="General">
                  <c:v>120.533</c:v>
                </c:pt>
                <c:pt idx="32" formatCode="General">
                  <c:v>122.81699999999999</c:v>
                </c:pt>
                <c:pt idx="33" formatCode="General">
                  <c:v>117.25</c:v>
                </c:pt>
                <c:pt idx="34" formatCode="General">
                  <c:v>121.633</c:v>
                </c:pt>
                <c:pt idx="35" formatCode="General">
                  <c:v>119.367</c:v>
                </c:pt>
                <c:pt idx="36" formatCode="General">
                  <c:v>116.767</c:v>
                </c:pt>
                <c:pt idx="37" formatCode="General">
                  <c:v>115.583</c:v>
                </c:pt>
                <c:pt idx="38" formatCode="General">
                  <c:v>117.81699999999999</c:v>
                </c:pt>
                <c:pt idx="39" formatCode="General">
                  <c:v>117.18300000000001</c:v>
                </c:pt>
                <c:pt idx="40" formatCode="General">
                  <c:v>115.617</c:v>
                </c:pt>
                <c:pt idx="41" formatCode="General">
                  <c:v>120.3</c:v>
                </c:pt>
                <c:pt idx="42" formatCode="General">
                  <c:v>116.283</c:v>
                </c:pt>
                <c:pt idx="43">
                  <c:v>126.46666461463113</c:v>
                </c:pt>
                <c:pt idx="44" formatCode="General">
                  <c:v>126.467</c:v>
                </c:pt>
                <c:pt idx="45" formatCode="General">
                  <c:v>119.93300000000001</c:v>
                </c:pt>
                <c:pt idx="46" formatCode="General">
                  <c:v>117.7</c:v>
                </c:pt>
                <c:pt idx="47">
                  <c:v>129.93292427739746</c:v>
                </c:pt>
                <c:pt idx="48">
                  <c:v>126.44999835605805</c:v>
                </c:pt>
                <c:pt idx="49" formatCode="General">
                  <c:v>126.45</c:v>
                </c:pt>
                <c:pt idx="50">
                  <c:v>130.66666321618661</c:v>
                </c:pt>
                <c:pt idx="51">
                  <c:v>125.86666517263507</c:v>
                </c:pt>
                <c:pt idx="52" formatCode="General">
                  <c:v>113.68300000000001</c:v>
                </c:pt>
                <c:pt idx="53" formatCode="General">
                  <c:v>125.867</c:v>
                </c:pt>
                <c:pt idx="54" formatCode="General">
                  <c:v>126.033</c:v>
                </c:pt>
                <c:pt idx="55">
                  <c:v>126.03332701761936</c:v>
                </c:pt>
                <c:pt idx="56" formatCode="General">
                  <c:v>121.05</c:v>
                </c:pt>
                <c:pt idx="57" formatCode="General">
                  <c:v>113.3</c:v>
                </c:pt>
                <c:pt idx="58" formatCode="General">
                  <c:v>114.283</c:v>
                </c:pt>
                <c:pt idx="59">
                  <c:v>133.9</c:v>
                </c:pt>
                <c:pt idx="60">
                  <c:v>133.86000000000001</c:v>
                </c:pt>
                <c:pt idx="61" formatCode="General">
                  <c:v>125.93300000000001</c:v>
                </c:pt>
                <c:pt idx="62">
                  <c:v>125.93333106124335</c:v>
                </c:pt>
                <c:pt idx="63" formatCode="General">
                  <c:v>113.583</c:v>
                </c:pt>
                <c:pt idx="64" formatCode="General">
                  <c:v>124.43300000000001</c:v>
                </c:pt>
                <c:pt idx="65" formatCode="General">
                  <c:v>115.15</c:v>
                </c:pt>
                <c:pt idx="66">
                  <c:v>131.03</c:v>
                </c:pt>
                <c:pt idx="67">
                  <c:v>131.03</c:v>
                </c:pt>
                <c:pt idx="68">
                  <c:v>131.03</c:v>
                </c:pt>
                <c:pt idx="69">
                  <c:v>131.03</c:v>
                </c:pt>
                <c:pt idx="70" formatCode="General">
                  <c:v>117.75</c:v>
                </c:pt>
                <c:pt idx="71" formatCode="General">
                  <c:v>124.983</c:v>
                </c:pt>
                <c:pt idx="72" formatCode="General">
                  <c:v>115.35</c:v>
                </c:pt>
                <c:pt idx="73">
                  <c:v>135.75</c:v>
                </c:pt>
                <c:pt idx="74" formatCode="General">
                  <c:v>113.43300000000001</c:v>
                </c:pt>
                <c:pt idx="75" formatCode="General">
                  <c:v>117.917</c:v>
                </c:pt>
                <c:pt idx="76">
                  <c:v>133.41</c:v>
                </c:pt>
                <c:pt idx="77" formatCode="General">
                  <c:v>119.43300000000001</c:v>
                </c:pt>
                <c:pt idx="78">
                  <c:v>137.16</c:v>
                </c:pt>
                <c:pt idx="79">
                  <c:v>137.18</c:v>
                </c:pt>
                <c:pt idx="80">
                  <c:v>131.31</c:v>
                </c:pt>
                <c:pt idx="81">
                  <c:v>130.83000000000001</c:v>
                </c:pt>
                <c:pt idx="82">
                  <c:v>133.97</c:v>
                </c:pt>
                <c:pt idx="83">
                  <c:v>134.80000000000001</c:v>
                </c:pt>
                <c:pt idx="84">
                  <c:v>134.33000000000001</c:v>
                </c:pt>
                <c:pt idx="85">
                  <c:v>133.88999999999999</c:v>
                </c:pt>
                <c:pt idx="86">
                  <c:v>134.43</c:v>
                </c:pt>
                <c:pt idx="87" formatCode="General">
                  <c:v>117.15</c:v>
                </c:pt>
                <c:pt idx="88">
                  <c:v>135.01</c:v>
                </c:pt>
                <c:pt idx="89">
                  <c:v>134.72999999999999</c:v>
                </c:pt>
                <c:pt idx="90" formatCode="General">
                  <c:v>113.8</c:v>
                </c:pt>
                <c:pt idx="91">
                  <c:v>135.08000000000001</c:v>
                </c:pt>
                <c:pt idx="92">
                  <c:v>134.88</c:v>
                </c:pt>
                <c:pt idx="93" formatCode="General">
                  <c:v>114</c:v>
                </c:pt>
                <c:pt idx="94" formatCode="General">
                  <c:v>113.983</c:v>
                </c:pt>
                <c:pt idx="95" formatCode="General">
                  <c:v>113.983</c:v>
                </c:pt>
                <c:pt idx="96" formatCode="General">
                  <c:v>114</c:v>
                </c:pt>
                <c:pt idx="97" formatCode="General">
                  <c:v>114.033</c:v>
                </c:pt>
                <c:pt idx="98">
                  <c:v>137.25</c:v>
                </c:pt>
                <c:pt idx="99">
                  <c:v>137.25</c:v>
                </c:pt>
                <c:pt idx="100">
                  <c:v>137.32</c:v>
                </c:pt>
                <c:pt idx="101">
                  <c:v>125.33332500009357</c:v>
                </c:pt>
                <c:pt idx="102">
                  <c:v>125.86665715174163</c:v>
                </c:pt>
                <c:pt idx="103">
                  <c:v>125.88332589087337</c:v>
                </c:pt>
                <c:pt idx="104">
                  <c:v>125.91666592057311</c:v>
                </c:pt>
                <c:pt idx="105">
                  <c:v>126.03332736910907</c:v>
                </c:pt>
                <c:pt idx="106">
                  <c:v>126.03332882986672</c:v>
                </c:pt>
                <c:pt idx="107">
                  <c:v>126.18332362765844</c:v>
                </c:pt>
                <c:pt idx="108">
                  <c:v>126.49998998843144</c:v>
                </c:pt>
                <c:pt idx="109">
                  <c:v>126.73332634405332</c:v>
                </c:pt>
                <c:pt idx="110">
                  <c:v>126.79999323297812</c:v>
                </c:pt>
                <c:pt idx="111">
                  <c:v>127.01666131600247</c:v>
                </c:pt>
                <c:pt idx="112">
                  <c:v>127.03332457729357</c:v>
                </c:pt>
                <c:pt idx="113">
                  <c:v>127.03332876663272</c:v>
                </c:pt>
                <c:pt idx="114">
                  <c:v>127.06665795023805</c:v>
                </c:pt>
                <c:pt idx="115">
                  <c:v>127.18333042201293</c:v>
                </c:pt>
                <c:pt idx="116">
                  <c:v>127.23332893757382</c:v>
                </c:pt>
                <c:pt idx="117">
                  <c:v>127.23333085592573</c:v>
                </c:pt>
                <c:pt idx="118">
                  <c:v>127.2333316265471</c:v>
                </c:pt>
                <c:pt idx="119">
                  <c:v>127.43332620260664</c:v>
                </c:pt>
                <c:pt idx="120">
                  <c:v>127.43332620260664</c:v>
                </c:pt>
                <c:pt idx="121">
                  <c:v>127.71666062389029</c:v>
                </c:pt>
                <c:pt idx="122">
                  <c:v>127.71666116878031</c:v>
                </c:pt>
                <c:pt idx="123">
                  <c:v>127.79999437308508</c:v>
                </c:pt>
                <c:pt idx="124">
                  <c:v>127.79999638903517</c:v>
                </c:pt>
                <c:pt idx="125">
                  <c:v>127.79999638903517</c:v>
                </c:pt>
                <c:pt idx="126">
                  <c:v>127.86665757613356</c:v>
                </c:pt>
                <c:pt idx="127">
                  <c:v>127.94999560222529</c:v>
                </c:pt>
                <c:pt idx="128">
                  <c:v>128.48332416590603</c:v>
                </c:pt>
                <c:pt idx="129">
                  <c:v>128.48332778339648</c:v>
                </c:pt>
                <c:pt idx="130">
                  <c:v>128.48332947992145</c:v>
                </c:pt>
                <c:pt idx="131">
                  <c:v>128.48333202306591</c:v>
                </c:pt>
                <c:pt idx="132">
                  <c:v>128.48333204168273</c:v>
                </c:pt>
                <c:pt idx="133">
                  <c:v>128.58333146886292</c:v>
                </c:pt>
                <c:pt idx="134">
                  <c:v>128.66666143104169</c:v>
                </c:pt>
                <c:pt idx="135">
                  <c:v>128.74998967975071</c:v>
                </c:pt>
                <c:pt idx="136">
                  <c:v>129.03333021296604</c:v>
                </c:pt>
                <c:pt idx="137">
                  <c:v>129.09999897198571</c:v>
                </c:pt>
                <c:pt idx="138">
                  <c:v>129.24999737521688</c:v>
                </c:pt>
                <c:pt idx="139">
                  <c:v>129.83332690118078</c:v>
                </c:pt>
                <c:pt idx="140">
                  <c:v>129.91665993942641</c:v>
                </c:pt>
                <c:pt idx="141">
                  <c:v>130.96666169629589</c:v>
                </c:pt>
                <c:pt idx="142">
                  <c:v>131.24999292928266</c:v>
                </c:pt>
                <c:pt idx="143">
                  <c:v>131.24999365145518</c:v>
                </c:pt>
                <c:pt idx="144">
                  <c:v>131.24999365145518</c:v>
                </c:pt>
                <c:pt idx="145">
                  <c:v>131.24999365145518</c:v>
                </c:pt>
                <c:pt idx="146">
                  <c:v>131.24999365145518</c:v>
                </c:pt>
                <c:pt idx="147">
                  <c:v>131.66665895522669</c:v>
                </c:pt>
                <c:pt idx="148">
                  <c:v>131.66665895522669</c:v>
                </c:pt>
                <c:pt idx="149">
                  <c:v>131.66665895522669</c:v>
                </c:pt>
                <c:pt idx="150">
                  <c:v>131.66666552269083</c:v>
                </c:pt>
                <c:pt idx="151">
                  <c:v>133.64999399999999</c:v>
                </c:pt>
                <c:pt idx="152">
                  <c:v>133.666664</c:v>
                </c:pt>
                <c:pt idx="153">
                  <c:v>133.666664</c:v>
                </c:pt>
                <c:pt idx="154">
                  <c:v>133.666664</c:v>
                </c:pt>
                <c:pt idx="155">
                  <c:v>134.166662</c:v>
                </c:pt>
                <c:pt idx="156">
                  <c:v>136.26665800000001</c:v>
                </c:pt>
                <c:pt idx="157">
                  <c:v>136.99999600000001</c:v>
                </c:pt>
                <c:pt idx="158">
                  <c:v>138.37562500000001</c:v>
                </c:pt>
                <c:pt idx="159">
                  <c:v>138.41666599999999</c:v>
                </c:pt>
                <c:pt idx="160">
                  <c:v>138.78248400000001</c:v>
                </c:pt>
                <c:pt idx="161">
                  <c:v>138.90346500000001</c:v>
                </c:pt>
                <c:pt idx="162">
                  <c:v>139.27306999999999</c:v>
                </c:pt>
                <c:pt idx="163">
                  <c:v>139.28332900000001</c:v>
                </c:pt>
                <c:pt idx="164">
                  <c:v>141.94999300000001</c:v>
                </c:pt>
                <c:pt idx="165">
                  <c:v>141.94999300000001</c:v>
                </c:pt>
                <c:pt idx="166">
                  <c:v>141.94999300000001</c:v>
                </c:pt>
                <c:pt idx="167">
                  <c:v>142.333324</c:v>
                </c:pt>
                <c:pt idx="168" formatCode="General">
                  <c:v>112.95</c:v>
                </c:pt>
                <c:pt idx="169" formatCode="General">
                  <c:v>113.1</c:v>
                </c:pt>
                <c:pt idx="170" formatCode="General">
                  <c:v>113.3</c:v>
                </c:pt>
                <c:pt idx="171" formatCode="General">
                  <c:v>113.43300000000001</c:v>
                </c:pt>
                <c:pt idx="172" formatCode="General">
                  <c:v>113.583</c:v>
                </c:pt>
                <c:pt idx="173" formatCode="General">
                  <c:v>113.68300000000001</c:v>
                </c:pt>
                <c:pt idx="174" formatCode="General">
                  <c:v>113.8</c:v>
                </c:pt>
                <c:pt idx="175" formatCode="General">
                  <c:v>114.1</c:v>
                </c:pt>
                <c:pt idx="176" formatCode="General">
                  <c:v>114.283</c:v>
                </c:pt>
                <c:pt idx="177" formatCode="General">
                  <c:v>115.617</c:v>
                </c:pt>
                <c:pt idx="178" formatCode="General">
                  <c:v>117.18300000000001</c:v>
                </c:pt>
                <c:pt idx="179" formatCode="General">
                  <c:v>117.7</c:v>
                </c:pt>
                <c:pt idx="180" formatCode="General">
                  <c:v>118.31699999999999</c:v>
                </c:pt>
                <c:pt idx="181" formatCode="General">
                  <c:v>119.367</c:v>
                </c:pt>
                <c:pt idx="182" formatCode="General">
                  <c:v>120.3</c:v>
                </c:pt>
                <c:pt idx="183" formatCode="General">
                  <c:v>121.31699999999999</c:v>
                </c:pt>
                <c:pt idx="184" formatCode="General">
                  <c:v>121.633</c:v>
                </c:pt>
                <c:pt idx="185" formatCode="General">
                  <c:v>128.667</c:v>
                </c:pt>
                <c:pt idx="186">
                  <c:v>134.39998</c:v>
                </c:pt>
                <c:pt idx="187">
                  <c:v>134.33331999999999</c:v>
                </c:pt>
                <c:pt idx="188">
                  <c:v>137.251667</c:v>
                </c:pt>
                <c:pt idx="189">
                  <c:v>137.32055600000001</c:v>
                </c:pt>
                <c:pt idx="190">
                  <c:v>124.9999945289191</c:v>
                </c:pt>
                <c:pt idx="191">
                  <c:v>125.06665702887992</c:v>
                </c:pt>
                <c:pt idx="192">
                  <c:v>125.29721833570987</c:v>
                </c:pt>
                <c:pt idx="193">
                  <c:v>125.3333303540751</c:v>
                </c:pt>
                <c:pt idx="194">
                  <c:v>125.41555376724865</c:v>
                </c:pt>
                <c:pt idx="195">
                  <c:v>125.49999846869389</c:v>
                </c:pt>
                <c:pt idx="196">
                  <c:v>125.54999282574879</c:v>
                </c:pt>
                <c:pt idx="197">
                  <c:v>125.54999364908331</c:v>
                </c:pt>
                <c:pt idx="198">
                  <c:v>125.58332539322357</c:v>
                </c:pt>
                <c:pt idx="199">
                  <c:v>125.61666569537789</c:v>
                </c:pt>
                <c:pt idx="200">
                  <c:v>125.6666570788952</c:v>
                </c:pt>
                <c:pt idx="201">
                  <c:v>125.6666570788952</c:v>
                </c:pt>
                <c:pt idx="202">
                  <c:v>125.86666517263507</c:v>
                </c:pt>
                <c:pt idx="203">
                  <c:v>125.93054814769393</c:v>
                </c:pt>
                <c:pt idx="204">
                  <c:v>125.94999782674233</c:v>
                </c:pt>
                <c:pt idx="205">
                  <c:v>125.96666280727479</c:v>
                </c:pt>
                <c:pt idx="206">
                  <c:v>126.01666007319861</c:v>
                </c:pt>
                <c:pt idx="207">
                  <c:v>126.01666007319861</c:v>
                </c:pt>
                <c:pt idx="208">
                  <c:v>126.08332714181746</c:v>
                </c:pt>
                <c:pt idx="209">
                  <c:v>126.19999008634227</c:v>
                </c:pt>
                <c:pt idx="210">
                  <c:v>126.29165677112783</c:v>
                </c:pt>
                <c:pt idx="211">
                  <c:v>126.36665913208772</c:v>
                </c:pt>
                <c:pt idx="212">
                  <c:v>126.3666631663169</c:v>
                </c:pt>
                <c:pt idx="213">
                  <c:v>126.38055490359483</c:v>
                </c:pt>
                <c:pt idx="214">
                  <c:v>126.41666396185445</c:v>
                </c:pt>
                <c:pt idx="215">
                  <c:v>126.43332604726986</c:v>
                </c:pt>
                <c:pt idx="216">
                  <c:v>126.44999352967021</c:v>
                </c:pt>
                <c:pt idx="217">
                  <c:v>126.46665954275694</c:v>
                </c:pt>
                <c:pt idx="218">
                  <c:v>126.48332694917048</c:v>
                </c:pt>
                <c:pt idx="219">
                  <c:v>126.53332732470653</c:v>
                </c:pt>
                <c:pt idx="220">
                  <c:v>127.39999046266061</c:v>
                </c:pt>
                <c:pt idx="221">
                  <c:v>127.43333074617051</c:v>
                </c:pt>
                <c:pt idx="222">
                  <c:v>128.96666111051076</c:v>
                </c:pt>
                <c:pt idx="223">
                  <c:v>129.18333293449439</c:v>
                </c:pt>
                <c:pt idx="224">
                  <c:v>129.35832633238536</c:v>
                </c:pt>
                <c:pt idx="225">
                  <c:v>129.99999587618385</c:v>
                </c:pt>
                <c:pt idx="226">
                  <c:v>130.44999821321514</c:v>
                </c:pt>
                <c:pt idx="227">
                  <c:v>130.7083308667593</c:v>
                </c:pt>
                <c:pt idx="228">
                  <c:v>130.71665976135665</c:v>
                </c:pt>
                <c:pt idx="229">
                  <c:v>130.74165925441031</c:v>
                </c:pt>
                <c:pt idx="230">
                  <c:v>130.86526907670699</c:v>
                </c:pt>
                <c:pt idx="231">
                  <c:v>131.037496136968</c:v>
                </c:pt>
                <c:pt idx="232">
                  <c:v>131.04721791516886</c:v>
                </c:pt>
                <c:pt idx="233">
                  <c:v>131.07222127231648</c:v>
                </c:pt>
                <c:pt idx="234">
                  <c:v>131.38333078643194</c:v>
                </c:pt>
                <c:pt idx="235">
                  <c:v>131.38333305432221</c:v>
                </c:pt>
                <c:pt idx="236">
                  <c:v>132.43332799999999</c:v>
                </c:pt>
                <c:pt idx="237">
                  <c:v>133.249999</c:v>
                </c:pt>
                <c:pt idx="238">
                  <c:v>133.26666499999999</c:v>
                </c:pt>
                <c:pt idx="239">
                  <c:v>133.44999899999999</c:v>
                </c:pt>
                <c:pt idx="240">
                  <c:v>133.508332</c:v>
                </c:pt>
                <c:pt idx="241">
                  <c:v>133.74999099999999</c:v>
                </c:pt>
                <c:pt idx="242">
                  <c:v>133.774991</c:v>
                </c:pt>
                <c:pt idx="243">
                  <c:v>133.89999800000001</c:v>
                </c:pt>
                <c:pt idx="244">
                  <c:v>133.89999800000001</c:v>
                </c:pt>
                <c:pt idx="245">
                  <c:v>133.94999200000001</c:v>
                </c:pt>
                <c:pt idx="246">
                  <c:v>134.07499300000001</c:v>
                </c:pt>
                <c:pt idx="247">
                  <c:v>134.083327</c:v>
                </c:pt>
                <c:pt idx="248">
                  <c:v>134.166662</c:v>
                </c:pt>
                <c:pt idx="249">
                  <c:v>134.18332599999999</c:v>
                </c:pt>
                <c:pt idx="250">
                  <c:v>134.208324</c:v>
                </c:pt>
                <c:pt idx="251">
                  <c:v>134.24999099999999</c:v>
                </c:pt>
                <c:pt idx="252">
                  <c:v>134.24999299999999</c:v>
                </c:pt>
                <c:pt idx="253">
                  <c:v>134.25832700000001</c:v>
                </c:pt>
                <c:pt idx="254">
                  <c:v>134.26665700000001</c:v>
                </c:pt>
                <c:pt idx="255">
                  <c:v>134.26666599999999</c:v>
                </c:pt>
                <c:pt idx="256">
                  <c:v>134.26666599999999</c:v>
                </c:pt>
                <c:pt idx="257">
                  <c:v>134.28332399999999</c:v>
                </c:pt>
                <c:pt idx="258">
                  <c:v>134.333326</c:v>
                </c:pt>
                <c:pt idx="259">
                  <c:v>134.33333200000001</c:v>
                </c:pt>
                <c:pt idx="260">
                  <c:v>134.51948999999999</c:v>
                </c:pt>
                <c:pt idx="261">
                  <c:v>134.58332799999999</c:v>
                </c:pt>
                <c:pt idx="262">
                  <c:v>134.599997</c:v>
                </c:pt>
                <c:pt idx="263">
                  <c:v>134.608328</c:v>
                </c:pt>
                <c:pt idx="264">
                  <c:v>134.749999</c:v>
                </c:pt>
                <c:pt idx="265">
                  <c:v>135.199996</c:v>
                </c:pt>
                <c:pt idx="266">
                  <c:v>135.199996</c:v>
                </c:pt>
                <c:pt idx="267">
                  <c:v>135.43332799999999</c:v>
                </c:pt>
                <c:pt idx="268">
                  <c:v>135.694243</c:v>
                </c:pt>
                <c:pt idx="269">
                  <c:v>135.833325</c:v>
                </c:pt>
                <c:pt idx="270">
                  <c:v>135.99999399999999</c:v>
                </c:pt>
                <c:pt idx="271">
                  <c:v>136.333326</c:v>
                </c:pt>
                <c:pt idx="272">
                  <c:v>137.09999099999999</c:v>
                </c:pt>
                <c:pt idx="273">
                  <c:v>137.166662</c:v>
                </c:pt>
                <c:pt idx="274">
                  <c:v>137.166664</c:v>
                </c:pt>
                <c:pt idx="275">
                  <c:v>137.16666499999999</c:v>
                </c:pt>
                <c:pt idx="276">
                  <c:v>137.43333100000001</c:v>
                </c:pt>
                <c:pt idx="277">
                  <c:v>137.49999500000001</c:v>
                </c:pt>
                <c:pt idx="278">
                  <c:v>138.06665799999999</c:v>
                </c:pt>
                <c:pt idx="279">
                  <c:v>138.41666599999999</c:v>
                </c:pt>
                <c:pt idx="280">
                  <c:v>138.74999600000001</c:v>
                </c:pt>
                <c:pt idx="281">
                  <c:v>138.77418599999999</c:v>
                </c:pt>
                <c:pt idx="282">
                  <c:v>138.81952899999999</c:v>
                </c:pt>
                <c:pt idx="283">
                  <c:v>138.833325</c:v>
                </c:pt>
                <c:pt idx="284">
                  <c:v>138.916662</c:v>
                </c:pt>
                <c:pt idx="285">
                  <c:v>138.916662</c:v>
                </c:pt>
                <c:pt idx="286">
                  <c:v>138.916662</c:v>
                </c:pt>
                <c:pt idx="287">
                  <c:v>139.14999399999999</c:v>
                </c:pt>
                <c:pt idx="288">
                  <c:v>139.21666400000001</c:v>
                </c:pt>
                <c:pt idx="289">
                  <c:v>139.266662</c:v>
                </c:pt>
                <c:pt idx="290">
                  <c:v>139.273877</c:v>
                </c:pt>
                <c:pt idx="291">
                  <c:v>139.28332499999999</c:v>
                </c:pt>
                <c:pt idx="292">
                  <c:v>140.166662</c:v>
                </c:pt>
                <c:pt idx="293">
                  <c:v>140.17833400000001</c:v>
                </c:pt>
                <c:pt idx="294">
                  <c:v>140.19999899999999</c:v>
                </c:pt>
                <c:pt idx="295">
                  <c:v>140.383332</c:v>
                </c:pt>
                <c:pt idx="296">
                  <c:v>140.783331</c:v>
                </c:pt>
                <c:pt idx="297">
                  <c:v>140.916663</c:v>
                </c:pt>
                <c:pt idx="298">
                  <c:v>141.49999</c:v>
                </c:pt>
                <c:pt idx="299">
                  <c:v>141.766659</c:v>
                </c:pt>
                <c:pt idx="300">
                  <c:v>141.88332700000001</c:v>
                </c:pt>
                <c:pt idx="301">
                  <c:v>141.94999100000001</c:v>
                </c:pt>
                <c:pt idx="302">
                  <c:v>142.333324</c:v>
                </c:pt>
                <c:pt idx="303">
                  <c:v>142.69999899999999</c:v>
                </c:pt>
                <c:pt idx="304">
                  <c:v>134.69999999999999</c:v>
                </c:pt>
                <c:pt idx="305">
                  <c:v>134.69999999999999</c:v>
                </c:pt>
                <c:pt idx="306">
                  <c:v>134.69999999999999</c:v>
                </c:pt>
                <c:pt idx="307">
                  <c:v>134.69999999999999</c:v>
                </c:pt>
                <c:pt idx="308">
                  <c:v>134.69999999999999</c:v>
                </c:pt>
                <c:pt idx="309">
                  <c:v>134.69999999999999</c:v>
                </c:pt>
                <c:pt idx="310">
                  <c:v>132.19999999999999</c:v>
                </c:pt>
                <c:pt idx="311">
                  <c:v>132.19999999999999</c:v>
                </c:pt>
                <c:pt idx="312">
                  <c:v>132.19999999999999</c:v>
                </c:pt>
                <c:pt idx="313">
                  <c:v>132.19999999999999</c:v>
                </c:pt>
                <c:pt idx="314">
                  <c:v>132.19999999999999</c:v>
                </c:pt>
                <c:pt idx="315">
                  <c:v>0</c:v>
                </c:pt>
                <c:pt idx="316">
                  <c:v>-24</c:v>
                </c:pt>
                <c:pt idx="317">
                  <c:v>-24</c:v>
                </c:pt>
                <c:pt idx="318">
                  <c:v>-30.5</c:v>
                </c:pt>
                <c:pt idx="319">
                  <c:v>-23.5</c:v>
                </c:pt>
                <c:pt idx="320">
                  <c:v>-24.316666666666666</c:v>
                </c:pt>
                <c:pt idx="321">
                  <c:v>-24.316666666666666</c:v>
                </c:pt>
                <c:pt idx="322">
                  <c:v>-25.05</c:v>
                </c:pt>
                <c:pt idx="323">
                  <c:v>-25.05</c:v>
                </c:pt>
                <c:pt idx="324">
                  <c:v>-25.05</c:v>
                </c:pt>
                <c:pt idx="325">
                  <c:v>-25.05</c:v>
                </c:pt>
                <c:pt idx="326">
                  <c:v>-25.05</c:v>
                </c:pt>
                <c:pt idx="327">
                  <c:v>-25.05</c:v>
                </c:pt>
                <c:pt idx="328">
                  <c:v>-25.83</c:v>
                </c:pt>
                <c:pt idx="329">
                  <c:v>-25.83</c:v>
                </c:pt>
                <c:pt idx="330">
                  <c:v>-25.83</c:v>
                </c:pt>
                <c:pt idx="331">
                  <c:v>-25.83</c:v>
                </c:pt>
                <c:pt idx="332">
                  <c:v>-25.83</c:v>
                </c:pt>
                <c:pt idx="333">
                  <c:v>-25.83</c:v>
                </c:pt>
                <c:pt idx="334">
                  <c:v>-25.83</c:v>
                </c:pt>
                <c:pt idx="335">
                  <c:v>-25.83</c:v>
                </c:pt>
                <c:pt idx="336">
                  <c:v>-25.83</c:v>
                </c:pt>
                <c:pt idx="337">
                  <c:v>-25.83</c:v>
                </c:pt>
                <c:pt idx="338">
                  <c:v>-25.83</c:v>
                </c:pt>
                <c:pt idx="339">
                  <c:v>-25.83</c:v>
                </c:pt>
                <c:pt idx="340">
                  <c:v>-25.83</c:v>
                </c:pt>
                <c:pt idx="341">
                  <c:v>-25.83</c:v>
                </c:pt>
                <c:pt idx="342">
                  <c:v>-25.83</c:v>
                </c:pt>
                <c:pt idx="343">
                  <c:v>-25.83</c:v>
                </c:pt>
                <c:pt idx="344">
                  <c:v>-25.83</c:v>
                </c:pt>
                <c:pt idx="345">
                  <c:v>-25.83</c:v>
                </c:pt>
                <c:pt idx="346">
                  <c:v>-25.83</c:v>
                </c:pt>
                <c:pt idx="347">
                  <c:v>-25.83</c:v>
                </c:pt>
                <c:pt idx="348">
                  <c:v>-25.83</c:v>
                </c:pt>
                <c:pt idx="349">
                  <c:v>-25.83</c:v>
                </c:pt>
                <c:pt idx="350">
                  <c:v>-25.83</c:v>
                </c:pt>
                <c:pt idx="351">
                  <c:v>-25.83</c:v>
                </c:pt>
                <c:pt idx="352">
                  <c:v>-25.83</c:v>
                </c:pt>
                <c:pt idx="353">
                  <c:v>-25.83</c:v>
                </c:pt>
                <c:pt idx="354">
                  <c:v>-26.158333333333331</c:v>
                </c:pt>
                <c:pt idx="355">
                  <c:v>-26.953055555555554</c:v>
                </c:pt>
                <c:pt idx="356">
                  <c:v>-27.885555555555555</c:v>
                </c:pt>
                <c:pt idx="357">
                  <c:v>-27.885555555555555</c:v>
                </c:pt>
                <c:pt idx="358">
                  <c:v>-27.885555555555555</c:v>
                </c:pt>
                <c:pt idx="359">
                  <c:v>-27.885555555555555</c:v>
                </c:pt>
                <c:pt idx="360">
                  <c:v>-27.885555555555555</c:v>
                </c:pt>
                <c:pt idx="361">
                  <c:v>-27.885555555555555</c:v>
                </c:pt>
                <c:pt idx="362">
                  <c:v>-27.885555555555555</c:v>
                </c:pt>
                <c:pt idx="363">
                  <c:v>-27.885555555555555</c:v>
                </c:pt>
                <c:pt idx="364">
                  <c:v>-27.885555555555555</c:v>
                </c:pt>
                <c:pt idx="365">
                  <c:v>-27.885555555555555</c:v>
                </c:pt>
                <c:pt idx="366">
                  <c:v>-28.419722222222223</c:v>
                </c:pt>
                <c:pt idx="367">
                  <c:v>-28.419722222222223</c:v>
                </c:pt>
                <c:pt idx="368">
                  <c:v>-30.066666666666666</c:v>
                </c:pt>
                <c:pt idx="369">
                  <c:v>-30.066666666666666</c:v>
                </c:pt>
                <c:pt idx="370">
                  <c:v>-30.066666666666666</c:v>
                </c:pt>
                <c:pt idx="371">
                  <c:v>-30.066666666666666</c:v>
                </c:pt>
                <c:pt idx="372">
                  <c:v>-30.066666666666666</c:v>
                </c:pt>
                <c:pt idx="373">
                  <c:v>-30.066666666666666</c:v>
                </c:pt>
                <c:pt idx="374">
                  <c:v>-30.066666666666666</c:v>
                </c:pt>
                <c:pt idx="375">
                  <c:v>-30.066666666666666</c:v>
                </c:pt>
                <c:pt idx="376">
                  <c:v>-30.066666666666666</c:v>
                </c:pt>
                <c:pt idx="377">
                  <c:v>-30.066666666666666</c:v>
                </c:pt>
                <c:pt idx="378">
                  <c:v>-30.066666666666666</c:v>
                </c:pt>
                <c:pt idx="379">
                  <c:v>-30.066666666666666</c:v>
                </c:pt>
                <c:pt idx="380">
                  <c:v>-30.328888888888887</c:v>
                </c:pt>
                <c:pt idx="381">
                  <c:v>-30.328888888888887</c:v>
                </c:pt>
                <c:pt idx="382">
                  <c:v>-30.328888888888887</c:v>
                </c:pt>
                <c:pt idx="383">
                  <c:v>-30.328888888888887</c:v>
                </c:pt>
                <c:pt idx="384">
                  <c:v>-30.328888888888887</c:v>
                </c:pt>
                <c:pt idx="385">
                  <c:v>-30.333333333333332</c:v>
                </c:pt>
                <c:pt idx="386">
                  <c:v>-30.333333333333332</c:v>
                </c:pt>
                <c:pt idx="387">
                  <c:v>-30.333333333333332</c:v>
                </c:pt>
                <c:pt idx="388">
                  <c:v>-30.333333333333332</c:v>
                </c:pt>
                <c:pt idx="389">
                  <c:v>-30.333333333333332</c:v>
                </c:pt>
                <c:pt idx="390">
                  <c:v>-30.333333333333332</c:v>
                </c:pt>
                <c:pt idx="391">
                  <c:v>-30.333333333333332</c:v>
                </c:pt>
                <c:pt idx="392">
                  <c:v>-30.333333333333332</c:v>
                </c:pt>
                <c:pt idx="393">
                  <c:v>-30.333333333333332</c:v>
                </c:pt>
                <c:pt idx="394">
                  <c:v>-30.333333333333332</c:v>
                </c:pt>
                <c:pt idx="395">
                  <c:v>-30.333333333333332</c:v>
                </c:pt>
                <c:pt idx="396">
                  <c:v>-30.333333333333332</c:v>
                </c:pt>
                <c:pt idx="397">
                  <c:v>-30.333333333333332</c:v>
                </c:pt>
                <c:pt idx="398">
                  <c:v>-30.5</c:v>
                </c:pt>
                <c:pt idx="399">
                  <c:v>-30.866666666666667</c:v>
                </c:pt>
                <c:pt idx="400">
                  <c:v>-30.866666666666667</c:v>
                </c:pt>
                <c:pt idx="401">
                  <c:v>-30.966666666666665</c:v>
                </c:pt>
                <c:pt idx="402">
                  <c:v>-30.966666666666665</c:v>
                </c:pt>
                <c:pt idx="403">
                  <c:v>-30.966666666666665</c:v>
                </c:pt>
                <c:pt idx="404">
                  <c:v>-30.966666666666665</c:v>
                </c:pt>
                <c:pt idx="405">
                  <c:v>-30.966666666666665</c:v>
                </c:pt>
                <c:pt idx="406">
                  <c:v>-30.966666666666665</c:v>
                </c:pt>
                <c:pt idx="407">
                  <c:v>-30.966666666666665</c:v>
                </c:pt>
                <c:pt idx="408">
                  <c:v>-30.966666666666665</c:v>
                </c:pt>
                <c:pt idx="409">
                  <c:v>-30.966666666666665</c:v>
                </c:pt>
                <c:pt idx="410">
                  <c:v>-30.966666666666665</c:v>
                </c:pt>
                <c:pt idx="411">
                  <c:v>-30.966666666666665</c:v>
                </c:pt>
                <c:pt idx="412">
                  <c:v>-30.966666666666665</c:v>
                </c:pt>
                <c:pt idx="413">
                  <c:v>-30.966666666666665</c:v>
                </c:pt>
                <c:pt idx="414">
                  <c:v>-31.066666666666666</c:v>
                </c:pt>
                <c:pt idx="415">
                  <c:v>-31.066666666666666</c:v>
                </c:pt>
                <c:pt idx="416">
                  <c:v>-31.066666666666666</c:v>
                </c:pt>
                <c:pt idx="417">
                  <c:v>-31.066666666666666</c:v>
                </c:pt>
                <c:pt idx="418">
                  <c:v>-31.066666666666666</c:v>
                </c:pt>
                <c:pt idx="419">
                  <c:v>-31.066666666666666</c:v>
                </c:pt>
                <c:pt idx="420">
                  <c:v>-31.066666666666666</c:v>
                </c:pt>
                <c:pt idx="421">
                  <c:v>-31.066666666666666</c:v>
                </c:pt>
                <c:pt idx="422">
                  <c:v>-31.066666666666666</c:v>
                </c:pt>
                <c:pt idx="423">
                  <c:v>-31.066666666666666</c:v>
                </c:pt>
                <c:pt idx="424">
                  <c:v>-31.066666666666666</c:v>
                </c:pt>
                <c:pt idx="425">
                  <c:v>-31.066666666666666</c:v>
                </c:pt>
                <c:pt idx="426">
                  <c:v>-31.066666666666666</c:v>
                </c:pt>
                <c:pt idx="427">
                  <c:v>-31.066666666666666</c:v>
                </c:pt>
                <c:pt idx="428">
                  <c:v>-31.166666666666668</c:v>
                </c:pt>
                <c:pt idx="429">
                  <c:v>-31.166666666666668</c:v>
                </c:pt>
                <c:pt idx="430">
                  <c:v>-31.166666666666668</c:v>
                </c:pt>
                <c:pt idx="431">
                  <c:v>-31.166666666666668</c:v>
                </c:pt>
                <c:pt idx="432">
                  <c:v>-31.166666666666668</c:v>
                </c:pt>
                <c:pt idx="433">
                  <c:v>-31.35</c:v>
                </c:pt>
                <c:pt idx="434">
                  <c:v>-31.35</c:v>
                </c:pt>
                <c:pt idx="435">
                  <c:v>-31.35</c:v>
                </c:pt>
                <c:pt idx="436">
                  <c:v>-31.35</c:v>
                </c:pt>
                <c:pt idx="437">
                  <c:v>-31.35</c:v>
                </c:pt>
                <c:pt idx="438">
                  <c:v>-31.35</c:v>
                </c:pt>
                <c:pt idx="439">
                  <c:v>-31.35</c:v>
                </c:pt>
                <c:pt idx="440">
                  <c:v>-31.35</c:v>
                </c:pt>
                <c:pt idx="441">
                  <c:v>-31.35</c:v>
                </c:pt>
                <c:pt idx="442">
                  <c:v>-31.35</c:v>
                </c:pt>
                <c:pt idx="443">
                  <c:v>-31.35</c:v>
                </c:pt>
                <c:pt idx="444">
                  <c:v>-31.35</c:v>
                </c:pt>
                <c:pt idx="445">
                  <c:v>-31.35</c:v>
                </c:pt>
                <c:pt idx="446">
                  <c:v>-31.35</c:v>
                </c:pt>
                <c:pt idx="447">
                  <c:v>-31.35</c:v>
                </c:pt>
                <c:pt idx="448">
                  <c:v>-31.35</c:v>
                </c:pt>
                <c:pt idx="449">
                  <c:v>-31.35</c:v>
                </c:pt>
                <c:pt idx="450">
                  <c:v>-31.35</c:v>
                </c:pt>
                <c:pt idx="451">
                  <c:v>-31.35</c:v>
                </c:pt>
                <c:pt idx="452">
                  <c:v>-31.35</c:v>
                </c:pt>
                <c:pt idx="453">
                  <c:v>-31.35</c:v>
                </c:pt>
                <c:pt idx="454">
                  <c:v>-31.35</c:v>
                </c:pt>
                <c:pt idx="455">
                  <c:v>-31.166666666666668</c:v>
                </c:pt>
                <c:pt idx="456">
                  <c:v>-31.166666666666668</c:v>
                </c:pt>
                <c:pt idx="457">
                  <c:v>-31.166666666666668</c:v>
                </c:pt>
                <c:pt idx="458">
                  <c:v>-31.166666666666668</c:v>
                </c:pt>
              </c:numCache>
            </c:numRef>
          </c:xVal>
          <c:yVal>
            <c:numRef>
              <c:f>Separate_Data!$D$2:$D$560</c:f>
              <c:numCache>
                <c:formatCode>0.000000</c:formatCode>
                <c:ptCount val="559"/>
                <c:pt idx="0">
                  <c:v>-34.183342000000003</c:v>
                </c:pt>
                <c:pt idx="1">
                  <c:v>-34.166670000000003</c:v>
                </c:pt>
                <c:pt idx="2">
                  <c:v>-33.433340000000001</c:v>
                </c:pt>
                <c:pt idx="3">
                  <c:v>-32.216670195722415</c:v>
                </c:pt>
                <c:pt idx="4">
                  <c:v>-32.100000062828983</c:v>
                </c:pt>
                <c:pt idx="5">
                  <c:v>-32.06667451851645</c:v>
                </c:pt>
                <c:pt idx="6">
                  <c:v>-32.050003190943805</c:v>
                </c:pt>
                <c:pt idx="7">
                  <c:v>-31.983341211053684</c:v>
                </c:pt>
                <c:pt idx="8">
                  <c:v>-31.966673172226823</c:v>
                </c:pt>
                <c:pt idx="9">
                  <c:v>-31.966669920192786</c:v>
                </c:pt>
                <c:pt idx="10">
                  <c:v>-31.850007684654891</c:v>
                </c:pt>
                <c:pt idx="11">
                  <c:v>-31.83333477294163</c:v>
                </c:pt>
                <c:pt idx="12">
                  <c:v>-31.775005300990752</c:v>
                </c:pt>
                <c:pt idx="13">
                  <c:v>-31.766669713229184</c:v>
                </c:pt>
                <c:pt idx="14">
                  <c:v>-31.766669713229184</c:v>
                </c:pt>
                <c:pt idx="15">
                  <c:v>-31.716673600125294</c:v>
                </c:pt>
                <c:pt idx="16">
                  <c:v>-31.700000876470028</c:v>
                </c:pt>
                <c:pt idx="17">
                  <c:v>-31.683341528055401</c:v>
                </c:pt>
                <c:pt idx="18">
                  <c:v>-31.683340805906472</c:v>
                </c:pt>
                <c:pt idx="19">
                  <c:v>-31.666673342579919</c:v>
                </c:pt>
                <c:pt idx="20">
                  <c:v>-31.650000943509845</c:v>
                </c:pt>
                <c:pt idx="21">
                  <c:v>-31.650000943509845</c:v>
                </c:pt>
                <c:pt idx="22">
                  <c:v>-31.650000531334182</c:v>
                </c:pt>
                <c:pt idx="23">
                  <c:v>-31.583339143492136</c:v>
                </c:pt>
                <c:pt idx="24">
                  <c:v>-31.533337490179314</c:v>
                </c:pt>
                <c:pt idx="25">
                  <c:v>-31.500003674349536</c:v>
                </c:pt>
                <c:pt idx="26">
                  <c:v>-31.433337192970523</c:v>
                </c:pt>
                <c:pt idx="27">
                  <c:v>-31.066674992483581</c:v>
                </c:pt>
                <c:pt idx="28">
                  <c:v>-30.966670000000001</c:v>
                </c:pt>
                <c:pt idx="29">
                  <c:v>-30.866669999999999</c:v>
                </c:pt>
                <c:pt idx="30">
                  <c:v>-30.583334000000001</c:v>
                </c:pt>
                <c:pt idx="31">
                  <c:v>-30.082999999999998</c:v>
                </c:pt>
                <c:pt idx="32">
                  <c:v>-30.082999999999998</c:v>
                </c:pt>
                <c:pt idx="33">
                  <c:v>-29.567</c:v>
                </c:pt>
                <c:pt idx="34">
                  <c:v>-29.516999999999999</c:v>
                </c:pt>
                <c:pt idx="35">
                  <c:v>-29.367000000000001</c:v>
                </c:pt>
                <c:pt idx="36">
                  <c:v>-29.2</c:v>
                </c:pt>
                <c:pt idx="37">
                  <c:v>-29.082999999999998</c:v>
                </c:pt>
                <c:pt idx="38">
                  <c:v>-28.55</c:v>
                </c:pt>
                <c:pt idx="39">
                  <c:v>-28.132999999999999</c:v>
                </c:pt>
                <c:pt idx="40">
                  <c:v>-28.117000000000001</c:v>
                </c:pt>
                <c:pt idx="41">
                  <c:v>-28.117000000000001</c:v>
                </c:pt>
                <c:pt idx="42">
                  <c:v>-27.466999999999999</c:v>
                </c:pt>
                <c:pt idx="43">
                  <c:v>-27.200001860053746</c:v>
                </c:pt>
                <c:pt idx="44">
                  <c:v>-27.2</c:v>
                </c:pt>
                <c:pt idx="45">
                  <c:v>-27.05</c:v>
                </c:pt>
                <c:pt idx="46">
                  <c:v>-26.917000000000002</c:v>
                </c:pt>
                <c:pt idx="47">
                  <c:v>-26.893581422014282</c:v>
                </c:pt>
                <c:pt idx="48">
                  <c:v>-26.700005847136644</c:v>
                </c:pt>
                <c:pt idx="49">
                  <c:v>-26.7</c:v>
                </c:pt>
                <c:pt idx="50">
                  <c:v>-26.616672857216347</c:v>
                </c:pt>
                <c:pt idx="51">
                  <c:v>-26.60000359388658</c:v>
                </c:pt>
                <c:pt idx="52">
                  <c:v>-26.6</c:v>
                </c:pt>
                <c:pt idx="53">
                  <c:v>-26.6</c:v>
                </c:pt>
                <c:pt idx="54">
                  <c:v>-26.516999999999999</c:v>
                </c:pt>
                <c:pt idx="55">
                  <c:v>-26.516675087613809</c:v>
                </c:pt>
                <c:pt idx="56">
                  <c:v>-26.417000000000002</c:v>
                </c:pt>
                <c:pt idx="57">
                  <c:v>-26.4</c:v>
                </c:pt>
                <c:pt idx="58">
                  <c:v>-25.983000000000001</c:v>
                </c:pt>
                <c:pt idx="59">
                  <c:v>-25.98</c:v>
                </c:pt>
                <c:pt idx="60">
                  <c:v>-25.96</c:v>
                </c:pt>
                <c:pt idx="61">
                  <c:v>-25.766999999999999</c:v>
                </c:pt>
                <c:pt idx="62">
                  <c:v>-25.766668375519782</c:v>
                </c:pt>
                <c:pt idx="63">
                  <c:v>-25.632999999999999</c:v>
                </c:pt>
                <c:pt idx="64">
                  <c:v>-25.433</c:v>
                </c:pt>
                <c:pt idx="65">
                  <c:v>-25.35</c:v>
                </c:pt>
                <c:pt idx="66">
                  <c:v>-25.35</c:v>
                </c:pt>
                <c:pt idx="67">
                  <c:v>-25.35</c:v>
                </c:pt>
                <c:pt idx="68">
                  <c:v>-25.35</c:v>
                </c:pt>
                <c:pt idx="69">
                  <c:v>-25.35</c:v>
                </c:pt>
                <c:pt idx="70">
                  <c:v>-25.067</c:v>
                </c:pt>
                <c:pt idx="71">
                  <c:v>-25.033000000000001</c:v>
                </c:pt>
                <c:pt idx="72">
                  <c:v>-24.75</c:v>
                </c:pt>
                <c:pt idx="73">
                  <c:v>-24.56</c:v>
                </c:pt>
                <c:pt idx="74">
                  <c:v>-24.117000000000001</c:v>
                </c:pt>
                <c:pt idx="75">
                  <c:v>-24.05</c:v>
                </c:pt>
                <c:pt idx="76">
                  <c:v>-24.03</c:v>
                </c:pt>
                <c:pt idx="77">
                  <c:v>-23.966999999999999</c:v>
                </c:pt>
                <c:pt idx="78">
                  <c:v>-23.85</c:v>
                </c:pt>
                <c:pt idx="79">
                  <c:v>-23.83</c:v>
                </c:pt>
                <c:pt idx="80">
                  <c:v>-23.83</c:v>
                </c:pt>
                <c:pt idx="81">
                  <c:v>-23.8</c:v>
                </c:pt>
                <c:pt idx="82">
                  <c:v>-23.74</c:v>
                </c:pt>
                <c:pt idx="83">
                  <c:v>-23.7</c:v>
                </c:pt>
                <c:pt idx="84">
                  <c:v>-23.66</c:v>
                </c:pt>
                <c:pt idx="85">
                  <c:v>-23.64</c:v>
                </c:pt>
                <c:pt idx="86">
                  <c:v>-23.63</c:v>
                </c:pt>
                <c:pt idx="87">
                  <c:v>-23.567</c:v>
                </c:pt>
                <c:pt idx="88">
                  <c:v>-23.56</c:v>
                </c:pt>
                <c:pt idx="89">
                  <c:v>-23.44</c:v>
                </c:pt>
                <c:pt idx="90">
                  <c:v>-23.117000000000001</c:v>
                </c:pt>
                <c:pt idx="91">
                  <c:v>-22.78</c:v>
                </c:pt>
                <c:pt idx="92">
                  <c:v>-22.35</c:v>
                </c:pt>
                <c:pt idx="93">
                  <c:v>-22.216999999999999</c:v>
                </c:pt>
                <c:pt idx="94">
                  <c:v>-22.2</c:v>
                </c:pt>
                <c:pt idx="95">
                  <c:v>-22.183</c:v>
                </c:pt>
                <c:pt idx="96">
                  <c:v>-22.132999999999999</c:v>
                </c:pt>
                <c:pt idx="97">
                  <c:v>-22.016999999999999</c:v>
                </c:pt>
                <c:pt idx="98">
                  <c:v>-22</c:v>
                </c:pt>
                <c:pt idx="99">
                  <c:v>-22</c:v>
                </c:pt>
                <c:pt idx="100">
                  <c:v>-22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B-4322-A8A7-39DE89062B15}"/>
            </c:ext>
          </c:extLst>
        </c:ser>
        <c:ser>
          <c:idx val="1"/>
          <c:order val="1"/>
          <c:tx>
            <c:strRef>
              <c:f>Separate_Data!$E$1</c:f>
              <c:strCache>
                <c:ptCount val="1"/>
                <c:pt idx="0">
                  <c:v>Leporillus conditor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Separate_Data!$C$2:$C$560</c:f>
              <c:numCache>
                <c:formatCode>0.000000</c:formatCode>
                <c:ptCount val="559"/>
                <c:pt idx="0">
                  <c:v>142.166664</c:v>
                </c:pt>
                <c:pt idx="1">
                  <c:v>142.18332599999999</c:v>
                </c:pt>
                <c:pt idx="2">
                  <c:v>136.16666000000001</c:v>
                </c:pt>
                <c:pt idx="3">
                  <c:v>125.88332589087337</c:v>
                </c:pt>
                <c:pt idx="4">
                  <c:v>126.18333304260975</c:v>
                </c:pt>
                <c:pt idx="5">
                  <c:v>126.03332882986672</c:v>
                </c:pt>
                <c:pt idx="6">
                  <c:v>126.03332736910907</c:v>
                </c:pt>
                <c:pt idx="7">
                  <c:v>127.03332876663272</c:v>
                </c:pt>
                <c:pt idx="8">
                  <c:v>127.03332457729357</c:v>
                </c:pt>
                <c:pt idx="9">
                  <c:v>125.91666592057311</c:v>
                </c:pt>
                <c:pt idx="10">
                  <c:v>126.73332634405332</c:v>
                </c:pt>
                <c:pt idx="11">
                  <c:v>127.71666062389029</c:v>
                </c:pt>
                <c:pt idx="12">
                  <c:v>127.79999437308508</c:v>
                </c:pt>
                <c:pt idx="13">
                  <c:v>127.79999638903517</c:v>
                </c:pt>
                <c:pt idx="14">
                  <c:v>127.79999638903517</c:v>
                </c:pt>
                <c:pt idx="15">
                  <c:v>128.48333202306591</c:v>
                </c:pt>
                <c:pt idx="16">
                  <c:v>128.48332947992145</c:v>
                </c:pt>
                <c:pt idx="17">
                  <c:v>129.03333021296604</c:v>
                </c:pt>
                <c:pt idx="18">
                  <c:v>127.71666116878031</c:v>
                </c:pt>
                <c:pt idx="19">
                  <c:v>128.48332416590603</c:v>
                </c:pt>
                <c:pt idx="20">
                  <c:v>127.43332620260664</c:v>
                </c:pt>
                <c:pt idx="21">
                  <c:v>127.43332620260664</c:v>
                </c:pt>
                <c:pt idx="22">
                  <c:v>128.48333204168273</c:v>
                </c:pt>
                <c:pt idx="23">
                  <c:v>127.01666054318713</c:v>
                </c:pt>
                <c:pt idx="24">
                  <c:v>129.09999897198571</c:v>
                </c:pt>
                <c:pt idx="25">
                  <c:v>129.91665993942641</c:v>
                </c:pt>
                <c:pt idx="26">
                  <c:v>127.18333042201293</c:v>
                </c:pt>
                <c:pt idx="27">
                  <c:v>128.74998967975071</c:v>
                </c:pt>
                <c:pt idx="28">
                  <c:v>139.28332900000001</c:v>
                </c:pt>
                <c:pt idx="29">
                  <c:v>132.166661</c:v>
                </c:pt>
                <c:pt idx="30">
                  <c:v>138.36666099999999</c:v>
                </c:pt>
                <c:pt idx="31" formatCode="General">
                  <c:v>120.533</c:v>
                </c:pt>
                <c:pt idx="32" formatCode="General">
                  <c:v>122.81699999999999</c:v>
                </c:pt>
                <c:pt idx="33" formatCode="General">
                  <c:v>117.25</c:v>
                </c:pt>
                <c:pt idx="34" formatCode="General">
                  <c:v>121.633</c:v>
                </c:pt>
                <c:pt idx="35" formatCode="General">
                  <c:v>119.367</c:v>
                </c:pt>
                <c:pt idx="36" formatCode="General">
                  <c:v>116.767</c:v>
                </c:pt>
                <c:pt idx="37" formatCode="General">
                  <c:v>115.583</c:v>
                </c:pt>
                <c:pt idx="38" formatCode="General">
                  <c:v>117.81699999999999</c:v>
                </c:pt>
                <c:pt idx="39" formatCode="General">
                  <c:v>117.18300000000001</c:v>
                </c:pt>
                <c:pt idx="40" formatCode="General">
                  <c:v>115.617</c:v>
                </c:pt>
                <c:pt idx="41" formatCode="General">
                  <c:v>120.3</c:v>
                </c:pt>
                <c:pt idx="42" formatCode="General">
                  <c:v>116.283</c:v>
                </c:pt>
                <c:pt idx="43">
                  <c:v>126.46666461463113</c:v>
                </c:pt>
                <c:pt idx="44" formatCode="General">
                  <c:v>126.467</c:v>
                </c:pt>
                <c:pt idx="45" formatCode="General">
                  <c:v>119.93300000000001</c:v>
                </c:pt>
                <c:pt idx="46" formatCode="General">
                  <c:v>117.7</c:v>
                </c:pt>
                <c:pt idx="47">
                  <c:v>129.93292427739746</c:v>
                </c:pt>
                <c:pt idx="48">
                  <c:v>126.44999835605805</c:v>
                </c:pt>
                <c:pt idx="49" formatCode="General">
                  <c:v>126.45</c:v>
                </c:pt>
                <c:pt idx="50">
                  <c:v>130.66666321618661</c:v>
                </c:pt>
                <c:pt idx="51">
                  <c:v>125.86666517263507</c:v>
                </c:pt>
                <c:pt idx="52" formatCode="General">
                  <c:v>113.68300000000001</c:v>
                </c:pt>
                <c:pt idx="53" formatCode="General">
                  <c:v>125.867</c:v>
                </c:pt>
                <c:pt idx="54" formatCode="General">
                  <c:v>126.033</c:v>
                </c:pt>
                <c:pt idx="55">
                  <c:v>126.03332701761936</c:v>
                </c:pt>
                <c:pt idx="56" formatCode="General">
                  <c:v>121.05</c:v>
                </c:pt>
                <c:pt idx="57" formatCode="General">
                  <c:v>113.3</c:v>
                </c:pt>
                <c:pt idx="58" formatCode="General">
                  <c:v>114.283</c:v>
                </c:pt>
                <c:pt idx="59">
                  <c:v>133.9</c:v>
                </c:pt>
                <c:pt idx="60">
                  <c:v>133.86000000000001</c:v>
                </c:pt>
                <c:pt idx="61" formatCode="General">
                  <c:v>125.93300000000001</c:v>
                </c:pt>
                <c:pt idx="62">
                  <c:v>125.93333106124335</c:v>
                </c:pt>
                <c:pt idx="63" formatCode="General">
                  <c:v>113.583</c:v>
                </c:pt>
                <c:pt idx="64" formatCode="General">
                  <c:v>124.43300000000001</c:v>
                </c:pt>
                <c:pt idx="65" formatCode="General">
                  <c:v>115.15</c:v>
                </c:pt>
                <c:pt idx="66">
                  <c:v>131.03</c:v>
                </c:pt>
                <c:pt idx="67">
                  <c:v>131.03</c:v>
                </c:pt>
                <c:pt idx="68">
                  <c:v>131.03</c:v>
                </c:pt>
                <c:pt idx="69">
                  <c:v>131.03</c:v>
                </c:pt>
                <c:pt idx="70" formatCode="General">
                  <c:v>117.75</c:v>
                </c:pt>
                <c:pt idx="71" formatCode="General">
                  <c:v>124.983</c:v>
                </c:pt>
                <c:pt idx="72" formatCode="General">
                  <c:v>115.35</c:v>
                </c:pt>
                <c:pt idx="73">
                  <c:v>135.75</c:v>
                </c:pt>
                <c:pt idx="74" formatCode="General">
                  <c:v>113.43300000000001</c:v>
                </c:pt>
                <c:pt idx="75" formatCode="General">
                  <c:v>117.917</c:v>
                </c:pt>
                <c:pt idx="76">
                  <c:v>133.41</c:v>
                </c:pt>
                <c:pt idx="77" formatCode="General">
                  <c:v>119.43300000000001</c:v>
                </c:pt>
                <c:pt idx="78">
                  <c:v>137.16</c:v>
                </c:pt>
                <c:pt idx="79">
                  <c:v>137.18</c:v>
                </c:pt>
                <c:pt idx="80">
                  <c:v>131.31</c:v>
                </c:pt>
                <c:pt idx="81">
                  <c:v>130.83000000000001</c:v>
                </c:pt>
                <c:pt idx="82">
                  <c:v>133.97</c:v>
                </c:pt>
                <c:pt idx="83">
                  <c:v>134.80000000000001</c:v>
                </c:pt>
                <c:pt idx="84">
                  <c:v>134.33000000000001</c:v>
                </c:pt>
                <c:pt idx="85">
                  <c:v>133.88999999999999</c:v>
                </c:pt>
                <c:pt idx="86">
                  <c:v>134.43</c:v>
                </c:pt>
                <c:pt idx="87" formatCode="General">
                  <c:v>117.15</c:v>
                </c:pt>
                <c:pt idx="88">
                  <c:v>135.01</c:v>
                </c:pt>
                <c:pt idx="89">
                  <c:v>134.72999999999999</c:v>
                </c:pt>
                <c:pt idx="90" formatCode="General">
                  <c:v>113.8</c:v>
                </c:pt>
                <c:pt idx="91">
                  <c:v>135.08000000000001</c:v>
                </c:pt>
                <c:pt idx="92">
                  <c:v>134.88</c:v>
                </c:pt>
                <c:pt idx="93" formatCode="General">
                  <c:v>114</c:v>
                </c:pt>
                <c:pt idx="94" formatCode="General">
                  <c:v>113.983</c:v>
                </c:pt>
                <c:pt idx="95" formatCode="General">
                  <c:v>113.983</c:v>
                </c:pt>
                <c:pt idx="96" formatCode="General">
                  <c:v>114</c:v>
                </c:pt>
                <c:pt idx="97" formatCode="General">
                  <c:v>114.033</c:v>
                </c:pt>
                <c:pt idx="98">
                  <c:v>137.25</c:v>
                </c:pt>
                <c:pt idx="99">
                  <c:v>137.25</c:v>
                </c:pt>
                <c:pt idx="100">
                  <c:v>137.32</c:v>
                </c:pt>
                <c:pt idx="101">
                  <c:v>125.33332500009357</c:v>
                </c:pt>
                <c:pt idx="102">
                  <c:v>125.86665715174163</c:v>
                </c:pt>
                <c:pt idx="103">
                  <c:v>125.88332589087337</c:v>
                </c:pt>
                <c:pt idx="104">
                  <c:v>125.91666592057311</c:v>
                </c:pt>
                <c:pt idx="105">
                  <c:v>126.03332736910907</c:v>
                </c:pt>
                <c:pt idx="106">
                  <c:v>126.03332882986672</c:v>
                </c:pt>
                <c:pt idx="107">
                  <c:v>126.18332362765844</c:v>
                </c:pt>
                <c:pt idx="108">
                  <c:v>126.49998998843144</c:v>
                </c:pt>
                <c:pt idx="109">
                  <c:v>126.73332634405332</c:v>
                </c:pt>
                <c:pt idx="110">
                  <c:v>126.79999323297812</c:v>
                </c:pt>
                <c:pt idx="111">
                  <c:v>127.01666131600247</c:v>
                </c:pt>
                <c:pt idx="112">
                  <c:v>127.03332457729357</c:v>
                </c:pt>
                <c:pt idx="113">
                  <c:v>127.03332876663272</c:v>
                </c:pt>
                <c:pt idx="114">
                  <c:v>127.06665795023805</c:v>
                </c:pt>
                <c:pt idx="115">
                  <c:v>127.18333042201293</c:v>
                </c:pt>
                <c:pt idx="116">
                  <c:v>127.23332893757382</c:v>
                </c:pt>
                <c:pt idx="117">
                  <c:v>127.23333085592573</c:v>
                </c:pt>
                <c:pt idx="118">
                  <c:v>127.2333316265471</c:v>
                </c:pt>
                <c:pt idx="119">
                  <c:v>127.43332620260664</c:v>
                </c:pt>
                <c:pt idx="120">
                  <c:v>127.43332620260664</c:v>
                </c:pt>
                <c:pt idx="121">
                  <c:v>127.71666062389029</c:v>
                </c:pt>
                <c:pt idx="122">
                  <c:v>127.71666116878031</c:v>
                </c:pt>
                <c:pt idx="123">
                  <c:v>127.79999437308508</c:v>
                </c:pt>
                <c:pt idx="124">
                  <c:v>127.79999638903517</c:v>
                </c:pt>
                <c:pt idx="125">
                  <c:v>127.79999638903517</c:v>
                </c:pt>
                <c:pt idx="126">
                  <c:v>127.86665757613356</c:v>
                </c:pt>
                <c:pt idx="127">
                  <c:v>127.94999560222529</c:v>
                </c:pt>
                <c:pt idx="128">
                  <c:v>128.48332416590603</c:v>
                </c:pt>
                <c:pt idx="129">
                  <c:v>128.48332778339648</c:v>
                </c:pt>
                <c:pt idx="130">
                  <c:v>128.48332947992145</c:v>
                </c:pt>
                <c:pt idx="131">
                  <c:v>128.48333202306591</c:v>
                </c:pt>
                <c:pt idx="132">
                  <c:v>128.48333204168273</c:v>
                </c:pt>
                <c:pt idx="133">
                  <c:v>128.58333146886292</c:v>
                </c:pt>
                <c:pt idx="134">
                  <c:v>128.66666143104169</c:v>
                </c:pt>
                <c:pt idx="135">
                  <c:v>128.74998967975071</c:v>
                </c:pt>
                <c:pt idx="136">
                  <c:v>129.03333021296604</c:v>
                </c:pt>
                <c:pt idx="137">
                  <c:v>129.09999897198571</c:v>
                </c:pt>
                <c:pt idx="138">
                  <c:v>129.24999737521688</c:v>
                </c:pt>
                <c:pt idx="139">
                  <c:v>129.83332690118078</c:v>
                </c:pt>
                <c:pt idx="140">
                  <c:v>129.91665993942641</c:v>
                </c:pt>
                <c:pt idx="141">
                  <c:v>130.96666169629589</c:v>
                </c:pt>
                <c:pt idx="142">
                  <c:v>131.24999292928266</c:v>
                </c:pt>
                <c:pt idx="143">
                  <c:v>131.24999365145518</c:v>
                </c:pt>
                <c:pt idx="144">
                  <c:v>131.24999365145518</c:v>
                </c:pt>
                <c:pt idx="145">
                  <c:v>131.24999365145518</c:v>
                </c:pt>
                <c:pt idx="146">
                  <c:v>131.24999365145518</c:v>
                </c:pt>
                <c:pt idx="147">
                  <c:v>131.66665895522669</c:v>
                </c:pt>
                <c:pt idx="148">
                  <c:v>131.66665895522669</c:v>
                </c:pt>
                <c:pt idx="149">
                  <c:v>131.66665895522669</c:v>
                </c:pt>
                <c:pt idx="150">
                  <c:v>131.66666552269083</c:v>
                </c:pt>
                <c:pt idx="151">
                  <c:v>133.64999399999999</c:v>
                </c:pt>
                <c:pt idx="152">
                  <c:v>133.666664</c:v>
                </c:pt>
                <c:pt idx="153">
                  <c:v>133.666664</c:v>
                </c:pt>
                <c:pt idx="154">
                  <c:v>133.666664</c:v>
                </c:pt>
                <c:pt idx="155">
                  <c:v>134.166662</c:v>
                </c:pt>
                <c:pt idx="156">
                  <c:v>136.26665800000001</c:v>
                </c:pt>
                <c:pt idx="157">
                  <c:v>136.99999600000001</c:v>
                </c:pt>
                <c:pt idx="158">
                  <c:v>138.37562500000001</c:v>
                </c:pt>
                <c:pt idx="159">
                  <c:v>138.41666599999999</c:v>
                </c:pt>
                <c:pt idx="160">
                  <c:v>138.78248400000001</c:v>
                </c:pt>
                <c:pt idx="161">
                  <c:v>138.90346500000001</c:v>
                </c:pt>
                <c:pt idx="162">
                  <c:v>139.27306999999999</c:v>
                </c:pt>
                <c:pt idx="163">
                  <c:v>139.28332900000001</c:v>
                </c:pt>
                <c:pt idx="164">
                  <c:v>141.94999300000001</c:v>
                </c:pt>
                <c:pt idx="165">
                  <c:v>141.94999300000001</c:v>
                </c:pt>
                <c:pt idx="166">
                  <c:v>141.94999300000001</c:v>
                </c:pt>
                <c:pt idx="167">
                  <c:v>142.333324</c:v>
                </c:pt>
                <c:pt idx="168" formatCode="General">
                  <c:v>112.95</c:v>
                </c:pt>
                <c:pt idx="169" formatCode="General">
                  <c:v>113.1</c:v>
                </c:pt>
                <c:pt idx="170" formatCode="General">
                  <c:v>113.3</c:v>
                </c:pt>
                <c:pt idx="171" formatCode="General">
                  <c:v>113.43300000000001</c:v>
                </c:pt>
                <c:pt idx="172" formatCode="General">
                  <c:v>113.583</c:v>
                </c:pt>
                <c:pt idx="173" formatCode="General">
                  <c:v>113.68300000000001</c:v>
                </c:pt>
                <c:pt idx="174" formatCode="General">
                  <c:v>113.8</c:v>
                </c:pt>
                <c:pt idx="175" formatCode="General">
                  <c:v>114.1</c:v>
                </c:pt>
                <c:pt idx="176" formatCode="General">
                  <c:v>114.283</c:v>
                </c:pt>
                <c:pt idx="177" formatCode="General">
                  <c:v>115.617</c:v>
                </c:pt>
                <c:pt idx="178" formatCode="General">
                  <c:v>117.18300000000001</c:v>
                </c:pt>
                <c:pt idx="179" formatCode="General">
                  <c:v>117.7</c:v>
                </c:pt>
                <c:pt idx="180" formatCode="General">
                  <c:v>118.31699999999999</c:v>
                </c:pt>
                <c:pt idx="181" formatCode="General">
                  <c:v>119.367</c:v>
                </c:pt>
                <c:pt idx="182" formatCode="General">
                  <c:v>120.3</c:v>
                </c:pt>
                <c:pt idx="183" formatCode="General">
                  <c:v>121.31699999999999</c:v>
                </c:pt>
                <c:pt idx="184" formatCode="General">
                  <c:v>121.633</c:v>
                </c:pt>
                <c:pt idx="185" formatCode="General">
                  <c:v>128.667</c:v>
                </c:pt>
                <c:pt idx="186">
                  <c:v>134.39998</c:v>
                </c:pt>
                <c:pt idx="187">
                  <c:v>134.33331999999999</c:v>
                </c:pt>
                <c:pt idx="188">
                  <c:v>137.251667</c:v>
                </c:pt>
                <c:pt idx="189">
                  <c:v>137.32055600000001</c:v>
                </c:pt>
                <c:pt idx="190">
                  <c:v>124.9999945289191</c:v>
                </c:pt>
                <c:pt idx="191">
                  <c:v>125.06665702887992</c:v>
                </c:pt>
                <c:pt idx="192">
                  <c:v>125.29721833570987</c:v>
                </c:pt>
                <c:pt idx="193">
                  <c:v>125.3333303540751</c:v>
                </c:pt>
                <c:pt idx="194">
                  <c:v>125.41555376724865</c:v>
                </c:pt>
                <c:pt idx="195">
                  <c:v>125.49999846869389</c:v>
                </c:pt>
                <c:pt idx="196">
                  <c:v>125.54999282574879</c:v>
                </c:pt>
                <c:pt idx="197">
                  <c:v>125.54999364908331</c:v>
                </c:pt>
                <c:pt idx="198">
                  <c:v>125.58332539322357</c:v>
                </c:pt>
                <c:pt idx="199">
                  <c:v>125.61666569537789</c:v>
                </c:pt>
                <c:pt idx="200">
                  <c:v>125.6666570788952</c:v>
                </c:pt>
                <c:pt idx="201">
                  <c:v>125.6666570788952</c:v>
                </c:pt>
                <c:pt idx="202">
                  <c:v>125.86666517263507</c:v>
                </c:pt>
                <c:pt idx="203">
                  <c:v>125.93054814769393</c:v>
                </c:pt>
                <c:pt idx="204">
                  <c:v>125.94999782674233</c:v>
                </c:pt>
                <c:pt idx="205">
                  <c:v>125.96666280727479</c:v>
                </c:pt>
                <c:pt idx="206">
                  <c:v>126.01666007319861</c:v>
                </c:pt>
                <c:pt idx="207">
                  <c:v>126.01666007319861</c:v>
                </c:pt>
                <c:pt idx="208">
                  <c:v>126.08332714181746</c:v>
                </c:pt>
                <c:pt idx="209">
                  <c:v>126.19999008634227</c:v>
                </c:pt>
                <c:pt idx="210">
                  <c:v>126.29165677112783</c:v>
                </c:pt>
                <c:pt idx="211">
                  <c:v>126.36665913208772</c:v>
                </c:pt>
                <c:pt idx="212">
                  <c:v>126.3666631663169</c:v>
                </c:pt>
                <c:pt idx="213">
                  <c:v>126.38055490359483</c:v>
                </c:pt>
                <c:pt idx="214">
                  <c:v>126.41666396185445</c:v>
                </c:pt>
                <c:pt idx="215">
                  <c:v>126.43332604726986</c:v>
                </c:pt>
                <c:pt idx="216">
                  <c:v>126.44999352967021</c:v>
                </c:pt>
                <c:pt idx="217">
                  <c:v>126.46665954275694</c:v>
                </c:pt>
                <c:pt idx="218">
                  <c:v>126.48332694917048</c:v>
                </c:pt>
                <c:pt idx="219">
                  <c:v>126.53332732470653</c:v>
                </c:pt>
                <c:pt idx="220">
                  <c:v>127.39999046266061</c:v>
                </c:pt>
                <c:pt idx="221">
                  <c:v>127.43333074617051</c:v>
                </c:pt>
                <c:pt idx="222">
                  <c:v>128.96666111051076</c:v>
                </c:pt>
                <c:pt idx="223">
                  <c:v>129.18333293449439</c:v>
                </c:pt>
                <c:pt idx="224">
                  <c:v>129.35832633238536</c:v>
                </c:pt>
                <c:pt idx="225">
                  <c:v>129.99999587618385</c:v>
                </c:pt>
                <c:pt idx="226">
                  <c:v>130.44999821321514</c:v>
                </c:pt>
                <c:pt idx="227">
                  <c:v>130.7083308667593</c:v>
                </c:pt>
                <c:pt idx="228">
                  <c:v>130.71665976135665</c:v>
                </c:pt>
                <c:pt idx="229">
                  <c:v>130.74165925441031</c:v>
                </c:pt>
                <c:pt idx="230">
                  <c:v>130.86526907670699</c:v>
                </c:pt>
                <c:pt idx="231">
                  <c:v>131.037496136968</c:v>
                </c:pt>
                <c:pt idx="232">
                  <c:v>131.04721791516886</c:v>
                </c:pt>
                <c:pt idx="233">
                  <c:v>131.07222127231648</c:v>
                </c:pt>
                <c:pt idx="234">
                  <c:v>131.38333078643194</c:v>
                </c:pt>
                <c:pt idx="235">
                  <c:v>131.38333305432221</c:v>
                </c:pt>
                <c:pt idx="236">
                  <c:v>132.43332799999999</c:v>
                </c:pt>
                <c:pt idx="237">
                  <c:v>133.249999</c:v>
                </c:pt>
                <c:pt idx="238">
                  <c:v>133.26666499999999</c:v>
                </c:pt>
                <c:pt idx="239">
                  <c:v>133.44999899999999</c:v>
                </c:pt>
                <c:pt idx="240">
                  <c:v>133.508332</c:v>
                </c:pt>
                <c:pt idx="241">
                  <c:v>133.74999099999999</c:v>
                </c:pt>
                <c:pt idx="242">
                  <c:v>133.774991</c:v>
                </c:pt>
                <c:pt idx="243">
                  <c:v>133.89999800000001</c:v>
                </c:pt>
                <c:pt idx="244">
                  <c:v>133.89999800000001</c:v>
                </c:pt>
                <c:pt idx="245">
                  <c:v>133.94999200000001</c:v>
                </c:pt>
                <c:pt idx="246">
                  <c:v>134.07499300000001</c:v>
                </c:pt>
                <c:pt idx="247">
                  <c:v>134.083327</c:v>
                </c:pt>
                <c:pt idx="248">
                  <c:v>134.166662</c:v>
                </c:pt>
                <c:pt idx="249">
                  <c:v>134.18332599999999</c:v>
                </c:pt>
                <c:pt idx="250">
                  <c:v>134.208324</c:v>
                </c:pt>
                <c:pt idx="251">
                  <c:v>134.24999099999999</c:v>
                </c:pt>
                <c:pt idx="252">
                  <c:v>134.24999299999999</c:v>
                </c:pt>
                <c:pt idx="253">
                  <c:v>134.25832700000001</c:v>
                </c:pt>
                <c:pt idx="254">
                  <c:v>134.26665700000001</c:v>
                </c:pt>
                <c:pt idx="255">
                  <c:v>134.26666599999999</c:v>
                </c:pt>
                <c:pt idx="256">
                  <c:v>134.26666599999999</c:v>
                </c:pt>
                <c:pt idx="257">
                  <c:v>134.28332399999999</c:v>
                </c:pt>
                <c:pt idx="258">
                  <c:v>134.333326</c:v>
                </c:pt>
                <c:pt idx="259">
                  <c:v>134.33333200000001</c:v>
                </c:pt>
                <c:pt idx="260">
                  <c:v>134.51948999999999</c:v>
                </c:pt>
                <c:pt idx="261">
                  <c:v>134.58332799999999</c:v>
                </c:pt>
                <c:pt idx="262">
                  <c:v>134.599997</c:v>
                </c:pt>
                <c:pt idx="263">
                  <c:v>134.608328</c:v>
                </c:pt>
                <c:pt idx="264">
                  <c:v>134.749999</c:v>
                </c:pt>
                <c:pt idx="265">
                  <c:v>135.199996</c:v>
                </c:pt>
                <c:pt idx="266">
                  <c:v>135.199996</c:v>
                </c:pt>
                <c:pt idx="267">
                  <c:v>135.43332799999999</c:v>
                </c:pt>
                <c:pt idx="268">
                  <c:v>135.694243</c:v>
                </c:pt>
                <c:pt idx="269">
                  <c:v>135.833325</c:v>
                </c:pt>
                <c:pt idx="270">
                  <c:v>135.99999399999999</c:v>
                </c:pt>
                <c:pt idx="271">
                  <c:v>136.333326</c:v>
                </c:pt>
                <c:pt idx="272">
                  <c:v>137.09999099999999</c:v>
                </c:pt>
                <c:pt idx="273">
                  <c:v>137.166662</c:v>
                </c:pt>
                <c:pt idx="274">
                  <c:v>137.166664</c:v>
                </c:pt>
                <c:pt idx="275">
                  <c:v>137.16666499999999</c:v>
                </c:pt>
                <c:pt idx="276">
                  <c:v>137.43333100000001</c:v>
                </c:pt>
                <c:pt idx="277">
                  <c:v>137.49999500000001</c:v>
                </c:pt>
                <c:pt idx="278">
                  <c:v>138.06665799999999</c:v>
                </c:pt>
                <c:pt idx="279">
                  <c:v>138.41666599999999</c:v>
                </c:pt>
                <c:pt idx="280">
                  <c:v>138.74999600000001</c:v>
                </c:pt>
                <c:pt idx="281">
                  <c:v>138.77418599999999</c:v>
                </c:pt>
                <c:pt idx="282">
                  <c:v>138.81952899999999</c:v>
                </c:pt>
                <c:pt idx="283">
                  <c:v>138.833325</c:v>
                </c:pt>
                <c:pt idx="284">
                  <c:v>138.916662</c:v>
                </c:pt>
                <c:pt idx="285">
                  <c:v>138.916662</c:v>
                </c:pt>
                <c:pt idx="286">
                  <c:v>138.916662</c:v>
                </c:pt>
                <c:pt idx="287">
                  <c:v>139.14999399999999</c:v>
                </c:pt>
                <c:pt idx="288">
                  <c:v>139.21666400000001</c:v>
                </c:pt>
                <c:pt idx="289">
                  <c:v>139.266662</c:v>
                </c:pt>
                <c:pt idx="290">
                  <c:v>139.273877</c:v>
                </c:pt>
                <c:pt idx="291">
                  <c:v>139.28332499999999</c:v>
                </c:pt>
                <c:pt idx="292">
                  <c:v>140.166662</c:v>
                </c:pt>
                <c:pt idx="293">
                  <c:v>140.17833400000001</c:v>
                </c:pt>
                <c:pt idx="294">
                  <c:v>140.19999899999999</c:v>
                </c:pt>
                <c:pt idx="295">
                  <c:v>140.383332</c:v>
                </c:pt>
                <c:pt idx="296">
                  <c:v>140.783331</c:v>
                </c:pt>
                <c:pt idx="297">
                  <c:v>140.916663</c:v>
                </c:pt>
                <c:pt idx="298">
                  <c:v>141.49999</c:v>
                </c:pt>
                <c:pt idx="299">
                  <c:v>141.766659</c:v>
                </c:pt>
                <c:pt idx="300">
                  <c:v>141.88332700000001</c:v>
                </c:pt>
                <c:pt idx="301">
                  <c:v>141.94999100000001</c:v>
                </c:pt>
                <c:pt idx="302">
                  <c:v>142.333324</c:v>
                </c:pt>
                <c:pt idx="303">
                  <c:v>142.69999899999999</c:v>
                </c:pt>
                <c:pt idx="304">
                  <c:v>134.69999999999999</c:v>
                </c:pt>
                <c:pt idx="305">
                  <c:v>134.69999999999999</c:v>
                </c:pt>
                <c:pt idx="306">
                  <c:v>134.69999999999999</c:v>
                </c:pt>
                <c:pt idx="307">
                  <c:v>134.69999999999999</c:v>
                </c:pt>
                <c:pt idx="308">
                  <c:v>134.69999999999999</c:v>
                </c:pt>
                <c:pt idx="309">
                  <c:v>134.69999999999999</c:v>
                </c:pt>
                <c:pt idx="310">
                  <c:v>132.19999999999999</c:v>
                </c:pt>
                <c:pt idx="311">
                  <c:v>132.19999999999999</c:v>
                </c:pt>
                <c:pt idx="312">
                  <c:v>132.19999999999999</c:v>
                </c:pt>
                <c:pt idx="313">
                  <c:v>132.19999999999999</c:v>
                </c:pt>
                <c:pt idx="314">
                  <c:v>132.19999999999999</c:v>
                </c:pt>
                <c:pt idx="315">
                  <c:v>0</c:v>
                </c:pt>
                <c:pt idx="316">
                  <c:v>-24</c:v>
                </c:pt>
                <c:pt idx="317">
                  <c:v>-24</c:v>
                </c:pt>
                <c:pt idx="318">
                  <c:v>-30.5</c:v>
                </c:pt>
                <c:pt idx="319">
                  <c:v>-23.5</c:v>
                </c:pt>
                <c:pt idx="320">
                  <c:v>-24.316666666666666</c:v>
                </c:pt>
                <c:pt idx="321">
                  <c:v>-24.316666666666666</c:v>
                </c:pt>
                <c:pt idx="322">
                  <c:v>-25.05</c:v>
                </c:pt>
                <c:pt idx="323">
                  <c:v>-25.05</c:v>
                </c:pt>
                <c:pt idx="324">
                  <c:v>-25.05</c:v>
                </c:pt>
                <c:pt idx="325">
                  <c:v>-25.05</c:v>
                </c:pt>
                <c:pt idx="326">
                  <c:v>-25.05</c:v>
                </c:pt>
                <c:pt idx="327">
                  <c:v>-25.05</c:v>
                </c:pt>
                <c:pt idx="328">
                  <c:v>-25.83</c:v>
                </c:pt>
                <c:pt idx="329">
                  <c:v>-25.83</c:v>
                </c:pt>
                <c:pt idx="330">
                  <c:v>-25.83</c:v>
                </c:pt>
                <c:pt idx="331">
                  <c:v>-25.83</c:v>
                </c:pt>
                <c:pt idx="332">
                  <c:v>-25.83</c:v>
                </c:pt>
                <c:pt idx="333">
                  <c:v>-25.83</c:v>
                </c:pt>
                <c:pt idx="334">
                  <c:v>-25.83</c:v>
                </c:pt>
                <c:pt idx="335">
                  <c:v>-25.83</c:v>
                </c:pt>
                <c:pt idx="336">
                  <c:v>-25.83</c:v>
                </c:pt>
                <c:pt idx="337">
                  <c:v>-25.83</c:v>
                </c:pt>
                <c:pt idx="338">
                  <c:v>-25.83</c:v>
                </c:pt>
                <c:pt idx="339">
                  <c:v>-25.83</c:v>
                </c:pt>
                <c:pt idx="340">
                  <c:v>-25.83</c:v>
                </c:pt>
                <c:pt idx="341">
                  <c:v>-25.83</c:v>
                </c:pt>
                <c:pt idx="342">
                  <c:v>-25.83</c:v>
                </c:pt>
                <c:pt idx="343">
                  <c:v>-25.83</c:v>
                </c:pt>
                <c:pt idx="344">
                  <c:v>-25.83</c:v>
                </c:pt>
                <c:pt idx="345">
                  <c:v>-25.83</c:v>
                </c:pt>
                <c:pt idx="346">
                  <c:v>-25.83</c:v>
                </c:pt>
                <c:pt idx="347">
                  <c:v>-25.83</c:v>
                </c:pt>
                <c:pt idx="348">
                  <c:v>-25.83</c:v>
                </c:pt>
                <c:pt idx="349">
                  <c:v>-25.83</c:v>
                </c:pt>
                <c:pt idx="350">
                  <c:v>-25.83</c:v>
                </c:pt>
                <c:pt idx="351">
                  <c:v>-25.83</c:v>
                </c:pt>
                <c:pt idx="352">
                  <c:v>-25.83</c:v>
                </c:pt>
                <c:pt idx="353">
                  <c:v>-25.83</c:v>
                </c:pt>
                <c:pt idx="354">
                  <c:v>-26.158333333333331</c:v>
                </c:pt>
                <c:pt idx="355">
                  <c:v>-26.953055555555554</c:v>
                </c:pt>
                <c:pt idx="356">
                  <c:v>-27.885555555555555</c:v>
                </c:pt>
                <c:pt idx="357">
                  <c:v>-27.885555555555555</c:v>
                </c:pt>
                <c:pt idx="358">
                  <c:v>-27.885555555555555</c:v>
                </c:pt>
                <c:pt idx="359">
                  <c:v>-27.885555555555555</c:v>
                </c:pt>
                <c:pt idx="360">
                  <c:v>-27.885555555555555</c:v>
                </c:pt>
                <c:pt idx="361">
                  <c:v>-27.885555555555555</c:v>
                </c:pt>
                <c:pt idx="362">
                  <c:v>-27.885555555555555</c:v>
                </c:pt>
                <c:pt idx="363">
                  <c:v>-27.885555555555555</c:v>
                </c:pt>
                <c:pt idx="364">
                  <c:v>-27.885555555555555</c:v>
                </c:pt>
                <c:pt idx="365">
                  <c:v>-27.885555555555555</c:v>
                </c:pt>
                <c:pt idx="366">
                  <c:v>-28.419722222222223</c:v>
                </c:pt>
                <c:pt idx="367">
                  <c:v>-28.419722222222223</c:v>
                </c:pt>
                <c:pt idx="368">
                  <c:v>-30.066666666666666</c:v>
                </c:pt>
                <c:pt idx="369">
                  <c:v>-30.066666666666666</c:v>
                </c:pt>
                <c:pt idx="370">
                  <c:v>-30.066666666666666</c:v>
                </c:pt>
                <c:pt idx="371">
                  <c:v>-30.066666666666666</c:v>
                </c:pt>
                <c:pt idx="372">
                  <c:v>-30.066666666666666</c:v>
                </c:pt>
                <c:pt idx="373">
                  <c:v>-30.066666666666666</c:v>
                </c:pt>
                <c:pt idx="374">
                  <c:v>-30.066666666666666</c:v>
                </c:pt>
                <c:pt idx="375">
                  <c:v>-30.066666666666666</c:v>
                </c:pt>
                <c:pt idx="376">
                  <c:v>-30.066666666666666</c:v>
                </c:pt>
                <c:pt idx="377">
                  <c:v>-30.066666666666666</c:v>
                </c:pt>
                <c:pt idx="378">
                  <c:v>-30.066666666666666</c:v>
                </c:pt>
                <c:pt idx="379">
                  <c:v>-30.066666666666666</c:v>
                </c:pt>
                <c:pt idx="380">
                  <c:v>-30.328888888888887</c:v>
                </c:pt>
                <c:pt idx="381">
                  <c:v>-30.328888888888887</c:v>
                </c:pt>
                <c:pt idx="382">
                  <c:v>-30.328888888888887</c:v>
                </c:pt>
                <c:pt idx="383">
                  <c:v>-30.328888888888887</c:v>
                </c:pt>
                <c:pt idx="384">
                  <c:v>-30.328888888888887</c:v>
                </c:pt>
                <c:pt idx="385">
                  <c:v>-30.333333333333332</c:v>
                </c:pt>
                <c:pt idx="386">
                  <c:v>-30.333333333333332</c:v>
                </c:pt>
                <c:pt idx="387">
                  <c:v>-30.333333333333332</c:v>
                </c:pt>
                <c:pt idx="388">
                  <c:v>-30.333333333333332</c:v>
                </c:pt>
                <c:pt idx="389">
                  <c:v>-30.333333333333332</c:v>
                </c:pt>
                <c:pt idx="390">
                  <c:v>-30.333333333333332</c:v>
                </c:pt>
                <c:pt idx="391">
                  <c:v>-30.333333333333332</c:v>
                </c:pt>
                <c:pt idx="392">
                  <c:v>-30.333333333333332</c:v>
                </c:pt>
                <c:pt idx="393">
                  <c:v>-30.333333333333332</c:v>
                </c:pt>
                <c:pt idx="394">
                  <c:v>-30.333333333333332</c:v>
                </c:pt>
                <c:pt idx="395">
                  <c:v>-30.333333333333332</c:v>
                </c:pt>
                <c:pt idx="396">
                  <c:v>-30.333333333333332</c:v>
                </c:pt>
                <c:pt idx="397">
                  <c:v>-30.333333333333332</c:v>
                </c:pt>
                <c:pt idx="398">
                  <c:v>-30.5</c:v>
                </c:pt>
                <c:pt idx="399">
                  <c:v>-30.866666666666667</c:v>
                </c:pt>
                <c:pt idx="400">
                  <c:v>-30.866666666666667</c:v>
                </c:pt>
                <c:pt idx="401">
                  <c:v>-30.966666666666665</c:v>
                </c:pt>
                <c:pt idx="402">
                  <c:v>-30.966666666666665</c:v>
                </c:pt>
                <c:pt idx="403">
                  <c:v>-30.966666666666665</c:v>
                </c:pt>
                <c:pt idx="404">
                  <c:v>-30.966666666666665</c:v>
                </c:pt>
                <c:pt idx="405">
                  <c:v>-30.966666666666665</c:v>
                </c:pt>
                <c:pt idx="406">
                  <c:v>-30.966666666666665</c:v>
                </c:pt>
                <c:pt idx="407">
                  <c:v>-30.966666666666665</c:v>
                </c:pt>
                <c:pt idx="408">
                  <c:v>-30.966666666666665</c:v>
                </c:pt>
                <c:pt idx="409">
                  <c:v>-30.966666666666665</c:v>
                </c:pt>
                <c:pt idx="410">
                  <c:v>-30.966666666666665</c:v>
                </c:pt>
                <c:pt idx="411">
                  <c:v>-30.966666666666665</c:v>
                </c:pt>
                <c:pt idx="412">
                  <c:v>-30.966666666666665</c:v>
                </c:pt>
                <c:pt idx="413">
                  <c:v>-30.966666666666665</c:v>
                </c:pt>
                <c:pt idx="414">
                  <c:v>-31.066666666666666</c:v>
                </c:pt>
                <c:pt idx="415">
                  <c:v>-31.066666666666666</c:v>
                </c:pt>
                <c:pt idx="416">
                  <c:v>-31.066666666666666</c:v>
                </c:pt>
                <c:pt idx="417">
                  <c:v>-31.066666666666666</c:v>
                </c:pt>
                <c:pt idx="418">
                  <c:v>-31.066666666666666</c:v>
                </c:pt>
                <c:pt idx="419">
                  <c:v>-31.066666666666666</c:v>
                </c:pt>
                <c:pt idx="420">
                  <c:v>-31.066666666666666</c:v>
                </c:pt>
                <c:pt idx="421">
                  <c:v>-31.066666666666666</c:v>
                </c:pt>
                <c:pt idx="422">
                  <c:v>-31.066666666666666</c:v>
                </c:pt>
                <c:pt idx="423">
                  <c:v>-31.066666666666666</c:v>
                </c:pt>
                <c:pt idx="424">
                  <c:v>-31.066666666666666</c:v>
                </c:pt>
                <c:pt idx="425">
                  <c:v>-31.066666666666666</c:v>
                </c:pt>
                <c:pt idx="426">
                  <c:v>-31.066666666666666</c:v>
                </c:pt>
                <c:pt idx="427">
                  <c:v>-31.066666666666666</c:v>
                </c:pt>
                <c:pt idx="428">
                  <c:v>-31.166666666666668</c:v>
                </c:pt>
                <c:pt idx="429">
                  <c:v>-31.166666666666668</c:v>
                </c:pt>
                <c:pt idx="430">
                  <c:v>-31.166666666666668</c:v>
                </c:pt>
                <c:pt idx="431">
                  <c:v>-31.166666666666668</c:v>
                </c:pt>
                <c:pt idx="432">
                  <c:v>-31.166666666666668</c:v>
                </c:pt>
                <c:pt idx="433">
                  <c:v>-31.35</c:v>
                </c:pt>
                <c:pt idx="434">
                  <c:v>-31.35</c:v>
                </c:pt>
                <c:pt idx="435">
                  <c:v>-31.35</c:v>
                </c:pt>
                <c:pt idx="436">
                  <c:v>-31.35</c:v>
                </c:pt>
                <c:pt idx="437">
                  <c:v>-31.35</c:v>
                </c:pt>
                <c:pt idx="438">
                  <c:v>-31.35</c:v>
                </c:pt>
                <c:pt idx="439">
                  <c:v>-31.35</c:v>
                </c:pt>
                <c:pt idx="440">
                  <c:v>-31.35</c:v>
                </c:pt>
                <c:pt idx="441">
                  <c:v>-31.35</c:v>
                </c:pt>
                <c:pt idx="442">
                  <c:v>-31.35</c:v>
                </c:pt>
                <c:pt idx="443">
                  <c:v>-31.35</c:v>
                </c:pt>
                <c:pt idx="444">
                  <c:v>-31.35</c:v>
                </c:pt>
                <c:pt idx="445">
                  <c:v>-31.35</c:v>
                </c:pt>
                <c:pt idx="446">
                  <c:v>-31.35</c:v>
                </c:pt>
                <c:pt idx="447">
                  <c:v>-31.35</c:v>
                </c:pt>
                <c:pt idx="448">
                  <c:v>-31.35</c:v>
                </c:pt>
                <c:pt idx="449">
                  <c:v>-31.35</c:v>
                </c:pt>
                <c:pt idx="450">
                  <c:v>-31.35</c:v>
                </c:pt>
                <c:pt idx="451">
                  <c:v>-31.35</c:v>
                </c:pt>
                <c:pt idx="452">
                  <c:v>-31.35</c:v>
                </c:pt>
                <c:pt idx="453">
                  <c:v>-31.35</c:v>
                </c:pt>
                <c:pt idx="454">
                  <c:v>-31.35</c:v>
                </c:pt>
                <c:pt idx="455">
                  <c:v>-31.166666666666668</c:v>
                </c:pt>
                <c:pt idx="456">
                  <c:v>-31.166666666666668</c:v>
                </c:pt>
                <c:pt idx="457">
                  <c:v>-31.166666666666668</c:v>
                </c:pt>
                <c:pt idx="458">
                  <c:v>-31.166666666666668</c:v>
                </c:pt>
              </c:numCache>
            </c:numRef>
          </c:xVal>
          <c:yVal>
            <c:numRef>
              <c:f>Separate_Data!$E$2:$E$560</c:f>
              <c:numCache>
                <c:formatCode>General</c:formatCode>
                <c:ptCount val="559"/>
                <c:pt idx="101" formatCode="0.000000">
                  <c:v>-31.066672912338699</c:v>
                </c:pt>
                <c:pt idx="102" formatCode="0.000000">
                  <c:v>-31.983336964763954</c:v>
                </c:pt>
                <c:pt idx="103" formatCode="0.000000">
                  <c:v>-32.216670195722415</c:v>
                </c:pt>
                <c:pt idx="104" formatCode="0.000000">
                  <c:v>-31.966669920192786</c:v>
                </c:pt>
                <c:pt idx="105" formatCode="0.000000">
                  <c:v>-32.050003190943805</c:v>
                </c:pt>
                <c:pt idx="106" formatCode="0.000000">
                  <c:v>-32.06667451851645</c:v>
                </c:pt>
                <c:pt idx="107" formatCode="0.000000">
                  <c:v>-32.033337926136866</c:v>
                </c:pt>
                <c:pt idx="108" formatCode="0.000000">
                  <c:v>-31.983339645420322</c:v>
                </c:pt>
                <c:pt idx="109" formatCode="0.000000">
                  <c:v>-31.850007684654891</c:v>
                </c:pt>
                <c:pt idx="110" formatCode="0.000000">
                  <c:v>-31.033333942613755</c:v>
                </c:pt>
                <c:pt idx="111" formatCode="0.000000">
                  <c:v>-31.750007232882069</c:v>
                </c:pt>
                <c:pt idx="112" formatCode="0.000000">
                  <c:v>-31.966673172226823</c:v>
                </c:pt>
                <c:pt idx="113" formatCode="0.000000">
                  <c:v>-31.983341211053684</c:v>
                </c:pt>
                <c:pt idx="114" formatCode="0.000000">
                  <c:v>-30.966666761633562</c:v>
                </c:pt>
                <c:pt idx="115" formatCode="0.000000">
                  <c:v>-31.433337192970523</c:v>
                </c:pt>
                <c:pt idx="116" formatCode="0.000000">
                  <c:v>-31.6666743406835</c:v>
                </c:pt>
                <c:pt idx="117" formatCode="0.000000">
                  <c:v>-31.716673802217635</c:v>
                </c:pt>
                <c:pt idx="118" formatCode="0.000000">
                  <c:v>-31.566674443270795</c:v>
                </c:pt>
                <c:pt idx="119" formatCode="0.000000">
                  <c:v>-31.650000943509845</c:v>
                </c:pt>
                <c:pt idx="120" formatCode="0.000000">
                  <c:v>-31.650000943509845</c:v>
                </c:pt>
                <c:pt idx="121" formatCode="0.000000">
                  <c:v>-31.83333477294163</c:v>
                </c:pt>
                <c:pt idx="122" formatCode="0.000000">
                  <c:v>-31.683340805906472</c:v>
                </c:pt>
                <c:pt idx="123" formatCode="0.000000">
                  <c:v>-31.775005300990752</c:v>
                </c:pt>
                <c:pt idx="124" formatCode="0.000000">
                  <c:v>-31.766669713229184</c:v>
                </c:pt>
                <c:pt idx="125" formatCode="0.000000">
                  <c:v>-31.766669713229184</c:v>
                </c:pt>
                <c:pt idx="126" formatCode="0.000000">
                  <c:v>-31.433338723018377</c:v>
                </c:pt>
                <c:pt idx="127" formatCode="0.000000">
                  <c:v>-31.166670780983626</c:v>
                </c:pt>
                <c:pt idx="128" formatCode="0.000000">
                  <c:v>-31.666673342579919</c:v>
                </c:pt>
                <c:pt idx="129" formatCode="0.000000">
                  <c:v>-31.250001740621826</c:v>
                </c:pt>
                <c:pt idx="130" formatCode="0.000000">
                  <c:v>-31.700000876470028</c:v>
                </c:pt>
                <c:pt idx="131" formatCode="0.000000">
                  <c:v>-31.716673600125294</c:v>
                </c:pt>
                <c:pt idx="132" formatCode="0.000000">
                  <c:v>-31.650000531334182</c:v>
                </c:pt>
                <c:pt idx="133" formatCode="0.000000">
                  <c:v>-31.400005043494403</c:v>
                </c:pt>
                <c:pt idx="134" formatCode="0.000000">
                  <c:v>-30.483338101848702</c:v>
                </c:pt>
                <c:pt idx="135" formatCode="0.000000">
                  <c:v>-31.066674992483581</c:v>
                </c:pt>
                <c:pt idx="136" formatCode="0.000000">
                  <c:v>-31.683341528055401</c:v>
                </c:pt>
                <c:pt idx="137" formatCode="0.000000">
                  <c:v>-31.533337490179314</c:v>
                </c:pt>
                <c:pt idx="138" formatCode="0.000000">
                  <c:v>-29.750005231182612</c:v>
                </c:pt>
                <c:pt idx="139" formatCode="0.000000">
                  <c:v>-31.400003850662603</c:v>
                </c:pt>
                <c:pt idx="140" formatCode="0.000000">
                  <c:v>-31.500003674349536</c:v>
                </c:pt>
                <c:pt idx="141" formatCode="0.000000">
                  <c:v>-30.550008029157617</c:v>
                </c:pt>
                <c:pt idx="142" formatCode="0.000000">
                  <c:v>-30.25000357260447</c:v>
                </c:pt>
                <c:pt idx="143" formatCode="0.000000">
                  <c:v>-30.583341422105857</c:v>
                </c:pt>
                <c:pt idx="144" formatCode="0.000000">
                  <c:v>-30.583341422105857</c:v>
                </c:pt>
                <c:pt idx="145" formatCode="0.000000">
                  <c:v>-30.583341422105857</c:v>
                </c:pt>
                <c:pt idx="146" formatCode="0.000000">
                  <c:v>-30.583341422105857</c:v>
                </c:pt>
                <c:pt idx="147" formatCode="0.000000">
                  <c:v>-30.450002674936943</c:v>
                </c:pt>
                <c:pt idx="148" formatCode="0.000000">
                  <c:v>-30.450002674936943</c:v>
                </c:pt>
                <c:pt idx="149" formatCode="0.000000">
                  <c:v>-30.450002674936943</c:v>
                </c:pt>
                <c:pt idx="150" formatCode="0.000000">
                  <c:v>-30.466669955720231</c:v>
                </c:pt>
                <c:pt idx="151" formatCode="0.000000">
                  <c:v>-32.450006999999999</c:v>
                </c:pt>
                <c:pt idx="152" formatCode="0.000000">
                  <c:v>-32.450004</c:v>
                </c:pt>
                <c:pt idx="153" formatCode="0.000000">
                  <c:v>-32.450004</c:v>
                </c:pt>
                <c:pt idx="154" formatCode="0.000000">
                  <c:v>-32.450004</c:v>
                </c:pt>
                <c:pt idx="155" formatCode="0.000000">
                  <c:v>-27.966674999999999</c:v>
                </c:pt>
                <c:pt idx="156" formatCode="0.000000">
                  <c:v>-34.516666999999998</c:v>
                </c:pt>
                <c:pt idx="157" formatCode="0.000000">
                  <c:v>-28.500004000000001</c:v>
                </c:pt>
                <c:pt idx="158" formatCode="0.000000">
                  <c:v>-30.258890999999998</c:v>
                </c:pt>
                <c:pt idx="159" formatCode="0.000000">
                  <c:v>-30.550001000000002</c:v>
                </c:pt>
                <c:pt idx="160" formatCode="0.000000">
                  <c:v>-29.389538999999999</c:v>
                </c:pt>
                <c:pt idx="161" formatCode="0.000000">
                  <c:v>-31.104990999999998</c:v>
                </c:pt>
                <c:pt idx="162" formatCode="0.000000">
                  <c:v>-30.174112000000001</c:v>
                </c:pt>
                <c:pt idx="163" formatCode="0.000000">
                  <c:v>-30.966670000000001</c:v>
                </c:pt>
                <c:pt idx="164" formatCode="0.000000">
                  <c:v>-33.950004</c:v>
                </c:pt>
                <c:pt idx="165" formatCode="0.000000">
                  <c:v>-33.950004</c:v>
                </c:pt>
                <c:pt idx="166" formatCode="0.000000">
                  <c:v>-33.950004</c:v>
                </c:pt>
                <c:pt idx="167" formatCode="0.000000">
                  <c:v>-32.666671999999998</c:v>
                </c:pt>
                <c:pt idx="168" formatCode="0.000000">
                  <c:v>-25.75</c:v>
                </c:pt>
                <c:pt idx="169" formatCode="0.000000">
                  <c:v>-25.966999999999999</c:v>
                </c:pt>
                <c:pt idx="170" formatCode="0.000000">
                  <c:v>-26.4</c:v>
                </c:pt>
                <c:pt idx="171" formatCode="0.000000">
                  <c:v>-24.117000000000001</c:v>
                </c:pt>
                <c:pt idx="172" formatCode="0.000000">
                  <c:v>-25.632999999999999</c:v>
                </c:pt>
                <c:pt idx="173" formatCode="0.000000">
                  <c:v>-26.6</c:v>
                </c:pt>
                <c:pt idx="174" formatCode="0.000000">
                  <c:v>-23.117000000000001</c:v>
                </c:pt>
                <c:pt idx="175" formatCode="0.000000">
                  <c:v>-27.832999999999998</c:v>
                </c:pt>
                <c:pt idx="176" formatCode="0.000000">
                  <c:v>-25.983000000000001</c:v>
                </c:pt>
                <c:pt idx="177" formatCode="0.000000">
                  <c:v>-28.117000000000001</c:v>
                </c:pt>
                <c:pt idx="178" formatCode="0.000000">
                  <c:v>-28.132999999999999</c:v>
                </c:pt>
                <c:pt idx="179" formatCode="0.000000">
                  <c:v>-26.917000000000002</c:v>
                </c:pt>
                <c:pt idx="180" formatCode="0.000000">
                  <c:v>-29.016999999999999</c:v>
                </c:pt>
                <c:pt idx="181" formatCode="0.000000">
                  <c:v>-29.367000000000001</c:v>
                </c:pt>
                <c:pt idx="182" formatCode="0.000000">
                  <c:v>-28.117000000000001</c:v>
                </c:pt>
                <c:pt idx="183" formatCode="0.000000">
                  <c:v>-30.9</c:v>
                </c:pt>
                <c:pt idx="184" formatCode="0.000000">
                  <c:v>-29.516999999999999</c:v>
                </c:pt>
                <c:pt idx="185" formatCode="0.000000">
                  <c:v>-30.483000000000001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B-4322-A8A7-39DE89062B15}"/>
            </c:ext>
          </c:extLst>
        </c:ser>
        <c:ser>
          <c:idx val="2"/>
          <c:order val="2"/>
          <c:tx>
            <c:strRef>
              <c:f>Separate_Data!$F$1</c:f>
              <c:strCache>
                <c:ptCount val="1"/>
                <c:pt idx="0">
                  <c:v>Leporillus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Separate_Data!$C$2:$C$560</c:f>
              <c:numCache>
                <c:formatCode>0.000000</c:formatCode>
                <c:ptCount val="559"/>
                <c:pt idx="0">
                  <c:v>142.166664</c:v>
                </c:pt>
                <c:pt idx="1">
                  <c:v>142.18332599999999</c:v>
                </c:pt>
                <c:pt idx="2">
                  <c:v>136.16666000000001</c:v>
                </c:pt>
                <c:pt idx="3">
                  <c:v>125.88332589087337</c:v>
                </c:pt>
                <c:pt idx="4">
                  <c:v>126.18333304260975</c:v>
                </c:pt>
                <c:pt idx="5">
                  <c:v>126.03332882986672</c:v>
                </c:pt>
                <c:pt idx="6">
                  <c:v>126.03332736910907</c:v>
                </c:pt>
                <c:pt idx="7">
                  <c:v>127.03332876663272</c:v>
                </c:pt>
                <c:pt idx="8">
                  <c:v>127.03332457729357</c:v>
                </c:pt>
                <c:pt idx="9">
                  <c:v>125.91666592057311</c:v>
                </c:pt>
                <c:pt idx="10">
                  <c:v>126.73332634405332</c:v>
                </c:pt>
                <c:pt idx="11">
                  <c:v>127.71666062389029</c:v>
                </c:pt>
                <c:pt idx="12">
                  <c:v>127.79999437308508</c:v>
                </c:pt>
                <c:pt idx="13">
                  <c:v>127.79999638903517</c:v>
                </c:pt>
                <c:pt idx="14">
                  <c:v>127.79999638903517</c:v>
                </c:pt>
                <c:pt idx="15">
                  <c:v>128.48333202306591</c:v>
                </c:pt>
                <c:pt idx="16">
                  <c:v>128.48332947992145</c:v>
                </c:pt>
                <c:pt idx="17">
                  <c:v>129.03333021296604</c:v>
                </c:pt>
                <c:pt idx="18">
                  <c:v>127.71666116878031</c:v>
                </c:pt>
                <c:pt idx="19">
                  <c:v>128.48332416590603</c:v>
                </c:pt>
                <c:pt idx="20">
                  <c:v>127.43332620260664</c:v>
                </c:pt>
                <c:pt idx="21">
                  <c:v>127.43332620260664</c:v>
                </c:pt>
                <c:pt idx="22">
                  <c:v>128.48333204168273</c:v>
                </c:pt>
                <c:pt idx="23">
                  <c:v>127.01666054318713</c:v>
                </c:pt>
                <c:pt idx="24">
                  <c:v>129.09999897198571</c:v>
                </c:pt>
                <c:pt idx="25">
                  <c:v>129.91665993942641</c:v>
                </c:pt>
                <c:pt idx="26">
                  <c:v>127.18333042201293</c:v>
                </c:pt>
                <c:pt idx="27">
                  <c:v>128.74998967975071</c:v>
                </c:pt>
                <c:pt idx="28">
                  <c:v>139.28332900000001</c:v>
                </c:pt>
                <c:pt idx="29">
                  <c:v>132.166661</c:v>
                </c:pt>
                <c:pt idx="30">
                  <c:v>138.36666099999999</c:v>
                </c:pt>
                <c:pt idx="31" formatCode="General">
                  <c:v>120.533</c:v>
                </c:pt>
                <c:pt idx="32" formatCode="General">
                  <c:v>122.81699999999999</c:v>
                </c:pt>
                <c:pt idx="33" formatCode="General">
                  <c:v>117.25</c:v>
                </c:pt>
                <c:pt idx="34" formatCode="General">
                  <c:v>121.633</c:v>
                </c:pt>
                <c:pt idx="35" formatCode="General">
                  <c:v>119.367</c:v>
                </c:pt>
                <c:pt idx="36" formatCode="General">
                  <c:v>116.767</c:v>
                </c:pt>
                <c:pt idx="37" formatCode="General">
                  <c:v>115.583</c:v>
                </c:pt>
                <c:pt idx="38" formatCode="General">
                  <c:v>117.81699999999999</c:v>
                </c:pt>
                <c:pt idx="39" formatCode="General">
                  <c:v>117.18300000000001</c:v>
                </c:pt>
                <c:pt idx="40" formatCode="General">
                  <c:v>115.617</c:v>
                </c:pt>
                <c:pt idx="41" formatCode="General">
                  <c:v>120.3</c:v>
                </c:pt>
                <c:pt idx="42" formatCode="General">
                  <c:v>116.283</c:v>
                </c:pt>
                <c:pt idx="43">
                  <c:v>126.46666461463113</c:v>
                </c:pt>
                <c:pt idx="44" formatCode="General">
                  <c:v>126.467</c:v>
                </c:pt>
                <c:pt idx="45" formatCode="General">
                  <c:v>119.93300000000001</c:v>
                </c:pt>
                <c:pt idx="46" formatCode="General">
                  <c:v>117.7</c:v>
                </c:pt>
                <c:pt idx="47">
                  <c:v>129.93292427739746</c:v>
                </c:pt>
                <c:pt idx="48">
                  <c:v>126.44999835605805</c:v>
                </c:pt>
                <c:pt idx="49" formatCode="General">
                  <c:v>126.45</c:v>
                </c:pt>
                <c:pt idx="50">
                  <c:v>130.66666321618661</c:v>
                </c:pt>
                <c:pt idx="51">
                  <c:v>125.86666517263507</c:v>
                </c:pt>
                <c:pt idx="52" formatCode="General">
                  <c:v>113.68300000000001</c:v>
                </c:pt>
                <c:pt idx="53" formatCode="General">
                  <c:v>125.867</c:v>
                </c:pt>
                <c:pt idx="54" formatCode="General">
                  <c:v>126.033</c:v>
                </c:pt>
                <c:pt idx="55">
                  <c:v>126.03332701761936</c:v>
                </c:pt>
                <c:pt idx="56" formatCode="General">
                  <c:v>121.05</c:v>
                </c:pt>
                <c:pt idx="57" formatCode="General">
                  <c:v>113.3</c:v>
                </c:pt>
                <c:pt idx="58" formatCode="General">
                  <c:v>114.283</c:v>
                </c:pt>
                <c:pt idx="59">
                  <c:v>133.9</c:v>
                </c:pt>
                <c:pt idx="60">
                  <c:v>133.86000000000001</c:v>
                </c:pt>
                <c:pt idx="61" formatCode="General">
                  <c:v>125.93300000000001</c:v>
                </c:pt>
                <c:pt idx="62">
                  <c:v>125.93333106124335</c:v>
                </c:pt>
                <c:pt idx="63" formatCode="General">
                  <c:v>113.583</c:v>
                </c:pt>
                <c:pt idx="64" formatCode="General">
                  <c:v>124.43300000000001</c:v>
                </c:pt>
                <c:pt idx="65" formatCode="General">
                  <c:v>115.15</c:v>
                </c:pt>
                <c:pt idx="66">
                  <c:v>131.03</c:v>
                </c:pt>
                <c:pt idx="67">
                  <c:v>131.03</c:v>
                </c:pt>
                <c:pt idx="68">
                  <c:v>131.03</c:v>
                </c:pt>
                <c:pt idx="69">
                  <c:v>131.03</c:v>
                </c:pt>
                <c:pt idx="70" formatCode="General">
                  <c:v>117.75</c:v>
                </c:pt>
                <c:pt idx="71" formatCode="General">
                  <c:v>124.983</c:v>
                </c:pt>
                <c:pt idx="72" formatCode="General">
                  <c:v>115.35</c:v>
                </c:pt>
                <c:pt idx="73">
                  <c:v>135.75</c:v>
                </c:pt>
                <c:pt idx="74" formatCode="General">
                  <c:v>113.43300000000001</c:v>
                </c:pt>
                <c:pt idx="75" formatCode="General">
                  <c:v>117.917</c:v>
                </c:pt>
                <c:pt idx="76">
                  <c:v>133.41</c:v>
                </c:pt>
                <c:pt idx="77" formatCode="General">
                  <c:v>119.43300000000001</c:v>
                </c:pt>
                <c:pt idx="78">
                  <c:v>137.16</c:v>
                </c:pt>
                <c:pt idx="79">
                  <c:v>137.18</c:v>
                </c:pt>
                <c:pt idx="80">
                  <c:v>131.31</c:v>
                </c:pt>
                <c:pt idx="81">
                  <c:v>130.83000000000001</c:v>
                </c:pt>
                <c:pt idx="82">
                  <c:v>133.97</c:v>
                </c:pt>
                <c:pt idx="83">
                  <c:v>134.80000000000001</c:v>
                </c:pt>
                <c:pt idx="84">
                  <c:v>134.33000000000001</c:v>
                </c:pt>
                <c:pt idx="85">
                  <c:v>133.88999999999999</c:v>
                </c:pt>
                <c:pt idx="86">
                  <c:v>134.43</c:v>
                </c:pt>
                <c:pt idx="87" formatCode="General">
                  <c:v>117.15</c:v>
                </c:pt>
                <c:pt idx="88">
                  <c:v>135.01</c:v>
                </c:pt>
                <c:pt idx="89">
                  <c:v>134.72999999999999</c:v>
                </c:pt>
                <c:pt idx="90" formatCode="General">
                  <c:v>113.8</c:v>
                </c:pt>
                <c:pt idx="91">
                  <c:v>135.08000000000001</c:v>
                </c:pt>
                <c:pt idx="92">
                  <c:v>134.88</c:v>
                </c:pt>
                <c:pt idx="93" formatCode="General">
                  <c:v>114</c:v>
                </c:pt>
                <c:pt idx="94" formatCode="General">
                  <c:v>113.983</c:v>
                </c:pt>
                <c:pt idx="95" formatCode="General">
                  <c:v>113.983</c:v>
                </c:pt>
                <c:pt idx="96" formatCode="General">
                  <c:v>114</c:v>
                </c:pt>
                <c:pt idx="97" formatCode="General">
                  <c:v>114.033</c:v>
                </c:pt>
                <c:pt idx="98">
                  <c:v>137.25</c:v>
                </c:pt>
                <c:pt idx="99">
                  <c:v>137.25</c:v>
                </c:pt>
                <c:pt idx="100">
                  <c:v>137.32</c:v>
                </c:pt>
                <c:pt idx="101">
                  <c:v>125.33332500009357</c:v>
                </c:pt>
                <c:pt idx="102">
                  <c:v>125.86665715174163</c:v>
                </c:pt>
                <c:pt idx="103">
                  <c:v>125.88332589087337</c:v>
                </c:pt>
                <c:pt idx="104">
                  <c:v>125.91666592057311</c:v>
                </c:pt>
                <c:pt idx="105">
                  <c:v>126.03332736910907</c:v>
                </c:pt>
                <c:pt idx="106">
                  <c:v>126.03332882986672</c:v>
                </c:pt>
                <c:pt idx="107">
                  <c:v>126.18332362765844</c:v>
                </c:pt>
                <c:pt idx="108">
                  <c:v>126.49998998843144</c:v>
                </c:pt>
                <c:pt idx="109">
                  <c:v>126.73332634405332</c:v>
                </c:pt>
                <c:pt idx="110">
                  <c:v>126.79999323297812</c:v>
                </c:pt>
                <c:pt idx="111">
                  <c:v>127.01666131600247</c:v>
                </c:pt>
                <c:pt idx="112">
                  <c:v>127.03332457729357</c:v>
                </c:pt>
                <c:pt idx="113">
                  <c:v>127.03332876663272</c:v>
                </c:pt>
                <c:pt idx="114">
                  <c:v>127.06665795023805</c:v>
                </c:pt>
                <c:pt idx="115">
                  <c:v>127.18333042201293</c:v>
                </c:pt>
                <c:pt idx="116">
                  <c:v>127.23332893757382</c:v>
                </c:pt>
                <c:pt idx="117">
                  <c:v>127.23333085592573</c:v>
                </c:pt>
                <c:pt idx="118">
                  <c:v>127.2333316265471</c:v>
                </c:pt>
                <c:pt idx="119">
                  <c:v>127.43332620260664</c:v>
                </c:pt>
                <c:pt idx="120">
                  <c:v>127.43332620260664</c:v>
                </c:pt>
                <c:pt idx="121">
                  <c:v>127.71666062389029</c:v>
                </c:pt>
                <c:pt idx="122">
                  <c:v>127.71666116878031</c:v>
                </c:pt>
                <c:pt idx="123">
                  <c:v>127.79999437308508</c:v>
                </c:pt>
                <c:pt idx="124">
                  <c:v>127.79999638903517</c:v>
                </c:pt>
                <c:pt idx="125">
                  <c:v>127.79999638903517</c:v>
                </c:pt>
                <c:pt idx="126">
                  <c:v>127.86665757613356</c:v>
                </c:pt>
                <c:pt idx="127">
                  <c:v>127.94999560222529</c:v>
                </c:pt>
                <c:pt idx="128">
                  <c:v>128.48332416590603</c:v>
                </c:pt>
                <c:pt idx="129">
                  <c:v>128.48332778339648</c:v>
                </c:pt>
                <c:pt idx="130">
                  <c:v>128.48332947992145</c:v>
                </c:pt>
                <c:pt idx="131">
                  <c:v>128.48333202306591</c:v>
                </c:pt>
                <c:pt idx="132">
                  <c:v>128.48333204168273</c:v>
                </c:pt>
                <c:pt idx="133">
                  <c:v>128.58333146886292</c:v>
                </c:pt>
                <c:pt idx="134">
                  <c:v>128.66666143104169</c:v>
                </c:pt>
                <c:pt idx="135">
                  <c:v>128.74998967975071</c:v>
                </c:pt>
                <c:pt idx="136">
                  <c:v>129.03333021296604</c:v>
                </c:pt>
                <c:pt idx="137">
                  <c:v>129.09999897198571</c:v>
                </c:pt>
                <c:pt idx="138">
                  <c:v>129.24999737521688</c:v>
                </c:pt>
                <c:pt idx="139">
                  <c:v>129.83332690118078</c:v>
                </c:pt>
                <c:pt idx="140">
                  <c:v>129.91665993942641</c:v>
                </c:pt>
                <c:pt idx="141">
                  <c:v>130.96666169629589</c:v>
                </c:pt>
                <c:pt idx="142">
                  <c:v>131.24999292928266</c:v>
                </c:pt>
                <c:pt idx="143">
                  <c:v>131.24999365145518</c:v>
                </c:pt>
                <c:pt idx="144">
                  <c:v>131.24999365145518</c:v>
                </c:pt>
                <c:pt idx="145">
                  <c:v>131.24999365145518</c:v>
                </c:pt>
                <c:pt idx="146">
                  <c:v>131.24999365145518</c:v>
                </c:pt>
                <c:pt idx="147">
                  <c:v>131.66665895522669</c:v>
                </c:pt>
                <c:pt idx="148">
                  <c:v>131.66665895522669</c:v>
                </c:pt>
                <c:pt idx="149">
                  <c:v>131.66665895522669</c:v>
                </c:pt>
                <c:pt idx="150">
                  <c:v>131.66666552269083</c:v>
                </c:pt>
                <c:pt idx="151">
                  <c:v>133.64999399999999</c:v>
                </c:pt>
                <c:pt idx="152">
                  <c:v>133.666664</c:v>
                </c:pt>
                <c:pt idx="153">
                  <c:v>133.666664</c:v>
                </c:pt>
                <c:pt idx="154">
                  <c:v>133.666664</c:v>
                </c:pt>
                <c:pt idx="155">
                  <c:v>134.166662</c:v>
                </c:pt>
                <c:pt idx="156">
                  <c:v>136.26665800000001</c:v>
                </c:pt>
                <c:pt idx="157">
                  <c:v>136.99999600000001</c:v>
                </c:pt>
                <c:pt idx="158">
                  <c:v>138.37562500000001</c:v>
                </c:pt>
                <c:pt idx="159">
                  <c:v>138.41666599999999</c:v>
                </c:pt>
                <c:pt idx="160">
                  <c:v>138.78248400000001</c:v>
                </c:pt>
                <c:pt idx="161">
                  <c:v>138.90346500000001</c:v>
                </c:pt>
                <c:pt idx="162">
                  <c:v>139.27306999999999</c:v>
                </c:pt>
                <c:pt idx="163">
                  <c:v>139.28332900000001</c:v>
                </c:pt>
                <c:pt idx="164">
                  <c:v>141.94999300000001</c:v>
                </c:pt>
                <c:pt idx="165">
                  <c:v>141.94999300000001</c:v>
                </c:pt>
                <c:pt idx="166">
                  <c:v>141.94999300000001</c:v>
                </c:pt>
                <c:pt idx="167">
                  <c:v>142.333324</c:v>
                </c:pt>
                <c:pt idx="168" formatCode="General">
                  <c:v>112.95</c:v>
                </c:pt>
                <c:pt idx="169" formatCode="General">
                  <c:v>113.1</c:v>
                </c:pt>
                <c:pt idx="170" formatCode="General">
                  <c:v>113.3</c:v>
                </c:pt>
                <c:pt idx="171" formatCode="General">
                  <c:v>113.43300000000001</c:v>
                </c:pt>
                <c:pt idx="172" formatCode="General">
                  <c:v>113.583</c:v>
                </c:pt>
                <c:pt idx="173" formatCode="General">
                  <c:v>113.68300000000001</c:v>
                </c:pt>
                <c:pt idx="174" formatCode="General">
                  <c:v>113.8</c:v>
                </c:pt>
                <c:pt idx="175" formatCode="General">
                  <c:v>114.1</c:v>
                </c:pt>
                <c:pt idx="176" formatCode="General">
                  <c:v>114.283</c:v>
                </c:pt>
                <c:pt idx="177" formatCode="General">
                  <c:v>115.617</c:v>
                </c:pt>
                <c:pt idx="178" formatCode="General">
                  <c:v>117.18300000000001</c:v>
                </c:pt>
                <c:pt idx="179" formatCode="General">
                  <c:v>117.7</c:v>
                </c:pt>
                <c:pt idx="180" formatCode="General">
                  <c:v>118.31699999999999</c:v>
                </c:pt>
                <c:pt idx="181" formatCode="General">
                  <c:v>119.367</c:v>
                </c:pt>
                <c:pt idx="182" formatCode="General">
                  <c:v>120.3</c:v>
                </c:pt>
                <c:pt idx="183" formatCode="General">
                  <c:v>121.31699999999999</c:v>
                </c:pt>
                <c:pt idx="184" formatCode="General">
                  <c:v>121.633</c:v>
                </c:pt>
                <c:pt idx="185" formatCode="General">
                  <c:v>128.667</c:v>
                </c:pt>
                <c:pt idx="186">
                  <c:v>134.39998</c:v>
                </c:pt>
                <c:pt idx="187">
                  <c:v>134.33331999999999</c:v>
                </c:pt>
                <c:pt idx="188">
                  <c:v>137.251667</c:v>
                </c:pt>
                <c:pt idx="189">
                  <c:v>137.32055600000001</c:v>
                </c:pt>
                <c:pt idx="190">
                  <c:v>124.9999945289191</c:v>
                </c:pt>
                <c:pt idx="191">
                  <c:v>125.06665702887992</c:v>
                </c:pt>
                <c:pt idx="192">
                  <c:v>125.29721833570987</c:v>
                </c:pt>
                <c:pt idx="193">
                  <c:v>125.3333303540751</c:v>
                </c:pt>
                <c:pt idx="194">
                  <c:v>125.41555376724865</c:v>
                </c:pt>
                <c:pt idx="195">
                  <c:v>125.49999846869389</c:v>
                </c:pt>
                <c:pt idx="196">
                  <c:v>125.54999282574879</c:v>
                </c:pt>
                <c:pt idx="197">
                  <c:v>125.54999364908331</c:v>
                </c:pt>
                <c:pt idx="198">
                  <c:v>125.58332539322357</c:v>
                </c:pt>
                <c:pt idx="199">
                  <c:v>125.61666569537789</c:v>
                </c:pt>
                <c:pt idx="200">
                  <c:v>125.6666570788952</c:v>
                </c:pt>
                <c:pt idx="201">
                  <c:v>125.6666570788952</c:v>
                </c:pt>
                <c:pt idx="202">
                  <c:v>125.86666517263507</c:v>
                </c:pt>
                <c:pt idx="203">
                  <c:v>125.93054814769393</c:v>
                </c:pt>
                <c:pt idx="204">
                  <c:v>125.94999782674233</c:v>
                </c:pt>
                <c:pt idx="205">
                  <c:v>125.96666280727479</c:v>
                </c:pt>
                <c:pt idx="206">
                  <c:v>126.01666007319861</c:v>
                </c:pt>
                <c:pt idx="207">
                  <c:v>126.01666007319861</c:v>
                </c:pt>
                <c:pt idx="208">
                  <c:v>126.08332714181746</c:v>
                </c:pt>
                <c:pt idx="209">
                  <c:v>126.19999008634227</c:v>
                </c:pt>
                <c:pt idx="210">
                  <c:v>126.29165677112783</c:v>
                </c:pt>
                <c:pt idx="211">
                  <c:v>126.36665913208772</c:v>
                </c:pt>
                <c:pt idx="212">
                  <c:v>126.3666631663169</c:v>
                </c:pt>
                <c:pt idx="213">
                  <c:v>126.38055490359483</c:v>
                </c:pt>
                <c:pt idx="214">
                  <c:v>126.41666396185445</c:v>
                </c:pt>
                <c:pt idx="215">
                  <c:v>126.43332604726986</c:v>
                </c:pt>
                <c:pt idx="216">
                  <c:v>126.44999352967021</c:v>
                </c:pt>
                <c:pt idx="217">
                  <c:v>126.46665954275694</c:v>
                </c:pt>
                <c:pt idx="218">
                  <c:v>126.48332694917048</c:v>
                </c:pt>
                <c:pt idx="219">
                  <c:v>126.53332732470653</c:v>
                </c:pt>
                <c:pt idx="220">
                  <c:v>127.39999046266061</c:v>
                </c:pt>
                <c:pt idx="221">
                  <c:v>127.43333074617051</c:v>
                </c:pt>
                <c:pt idx="222">
                  <c:v>128.96666111051076</c:v>
                </c:pt>
                <c:pt idx="223">
                  <c:v>129.18333293449439</c:v>
                </c:pt>
                <c:pt idx="224">
                  <c:v>129.35832633238536</c:v>
                </c:pt>
                <c:pt idx="225">
                  <c:v>129.99999587618385</c:v>
                </c:pt>
                <c:pt idx="226">
                  <c:v>130.44999821321514</c:v>
                </c:pt>
                <c:pt idx="227">
                  <c:v>130.7083308667593</c:v>
                </c:pt>
                <c:pt idx="228">
                  <c:v>130.71665976135665</c:v>
                </c:pt>
                <c:pt idx="229">
                  <c:v>130.74165925441031</c:v>
                </c:pt>
                <c:pt idx="230">
                  <c:v>130.86526907670699</c:v>
                </c:pt>
                <c:pt idx="231">
                  <c:v>131.037496136968</c:v>
                </c:pt>
                <c:pt idx="232">
                  <c:v>131.04721791516886</c:v>
                </c:pt>
                <c:pt idx="233">
                  <c:v>131.07222127231648</c:v>
                </c:pt>
                <c:pt idx="234">
                  <c:v>131.38333078643194</c:v>
                </c:pt>
                <c:pt idx="235">
                  <c:v>131.38333305432221</c:v>
                </c:pt>
                <c:pt idx="236">
                  <c:v>132.43332799999999</c:v>
                </c:pt>
                <c:pt idx="237">
                  <c:v>133.249999</c:v>
                </c:pt>
                <c:pt idx="238">
                  <c:v>133.26666499999999</c:v>
                </c:pt>
                <c:pt idx="239">
                  <c:v>133.44999899999999</c:v>
                </c:pt>
                <c:pt idx="240">
                  <c:v>133.508332</c:v>
                </c:pt>
                <c:pt idx="241">
                  <c:v>133.74999099999999</c:v>
                </c:pt>
                <c:pt idx="242">
                  <c:v>133.774991</c:v>
                </c:pt>
                <c:pt idx="243">
                  <c:v>133.89999800000001</c:v>
                </c:pt>
                <c:pt idx="244">
                  <c:v>133.89999800000001</c:v>
                </c:pt>
                <c:pt idx="245">
                  <c:v>133.94999200000001</c:v>
                </c:pt>
                <c:pt idx="246">
                  <c:v>134.07499300000001</c:v>
                </c:pt>
                <c:pt idx="247">
                  <c:v>134.083327</c:v>
                </c:pt>
                <c:pt idx="248">
                  <c:v>134.166662</c:v>
                </c:pt>
                <c:pt idx="249">
                  <c:v>134.18332599999999</c:v>
                </c:pt>
                <c:pt idx="250">
                  <c:v>134.208324</c:v>
                </c:pt>
                <c:pt idx="251">
                  <c:v>134.24999099999999</c:v>
                </c:pt>
                <c:pt idx="252">
                  <c:v>134.24999299999999</c:v>
                </c:pt>
                <c:pt idx="253">
                  <c:v>134.25832700000001</c:v>
                </c:pt>
                <c:pt idx="254">
                  <c:v>134.26665700000001</c:v>
                </c:pt>
                <c:pt idx="255">
                  <c:v>134.26666599999999</c:v>
                </c:pt>
                <c:pt idx="256">
                  <c:v>134.26666599999999</c:v>
                </c:pt>
                <c:pt idx="257">
                  <c:v>134.28332399999999</c:v>
                </c:pt>
                <c:pt idx="258">
                  <c:v>134.333326</c:v>
                </c:pt>
                <c:pt idx="259">
                  <c:v>134.33333200000001</c:v>
                </c:pt>
                <c:pt idx="260">
                  <c:v>134.51948999999999</c:v>
                </c:pt>
                <c:pt idx="261">
                  <c:v>134.58332799999999</c:v>
                </c:pt>
                <c:pt idx="262">
                  <c:v>134.599997</c:v>
                </c:pt>
                <c:pt idx="263">
                  <c:v>134.608328</c:v>
                </c:pt>
                <c:pt idx="264">
                  <c:v>134.749999</c:v>
                </c:pt>
                <c:pt idx="265">
                  <c:v>135.199996</c:v>
                </c:pt>
                <c:pt idx="266">
                  <c:v>135.199996</c:v>
                </c:pt>
                <c:pt idx="267">
                  <c:v>135.43332799999999</c:v>
                </c:pt>
                <c:pt idx="268">
                  <c:v>135.694243</c:v>
                </c:pt>
                <c:pt idx="269">
                  <c:v>135.833325</c:v>
                </c:pt>
                <c:pt idx="270">
                  <c:v>135.99999399999999</c:v>
                </c:pt>
                <c:pt idx="271">
                  <c:v>136.333326</c:v>
                </c:pt>
                <c:pt idx="272">
                  <c:v>137.09999099999999</c:v>
                </c:pt>
                <c:pt idx="273">
                  <c:v>137.166662</c:v>
                </c:pt>
                <c:pt idx="274">
                  <c:v>137.166664</c:v>
                </c:pt>
                <c:pt idx="275">
                  <c:v>137.16666499999999</c:v>
                </c:pt>
                <c:pt idx="276">
                  <c:v>137.43333100000001</c:v>
                </c:pt>
                <c:pt idx="277">
                  <c:v>137.49999500000001</c:v>
                </c:pt>
                <c:pt idx="278">
                  <c:v>138.06665799999999</c:v>
                </c:pt>
                <c:pt idx="279">
                  <c:v>138.41666599999999</c:v>
                </c:pt>
                <c:pt idx="280">
                  <c:v>138.74999600000001</c:v>
                </c:pt>
                <c:pt idx="281">
                  <c:v>138.77418599999999</c:v>
                </c:pt>
                <c:pt idx="282">
                  <c:v>138.81952899999999</c:v>
                </c:pt>
                <c:pt idx="283">
                  <c:v>138.833325</c:v>
                </c:pt>
                <c:pt idx="284">
                  <c:v>138.916662</c:v>
                </c:pt>
                <c:pt idx="285">
                  <c:v>138.916662</c:v>
                </c:pt>
                <c:pt idx="286">
                  <c:v>138.916662</c:v>
                </c:pt>
                <c:pt idx="287">
                  <c:v>139.14999399999999</c:v>
                </c:pt>
                <c:pt idx="288">
                  <c:v>139.21666400000001</c:v>
                </c:pt>
                <c:pt idx="289">
                  <c:v>139.266662</c:v>
                </c:pt>
                <c:pt idx="290">
                  <c:v>139.273877</c:v>
                </c:pt>
                <c:pt idx="291">
                  <c:v>139.28332499999999</c:v>
                </c:pt>
                <c:pt idx="292">
                  <c:v>140.166662</c:v>
                </c:pt>
                <c:pt idx="293">
                  <c:v>140.17833400000001</c:v>
                </c:pt>
                <c:pt idx="294">
                  <c:v>140.19999899999999</c:v>
                </c:pt>
                <c:pt idx="295">
                  <c:v>140.383332</c:v>
                </c:pt>
                <c:pt idx="296">
                  <c:v>140.783331</c:v>
                </c:pt>
                <c:pt idx="297">
                  <c:v>140.916663</c:v>
                </c:pt>
                <c:pt idx="298">
                  <c:v>141.49999</c:v>
                </c:pt>
                <c:pt idx="299">
                  <c:v>141.766659</c:v>
                </c:pt>
                <c:pt idx="300">
                  <c:v>141.88332700000001</c:v>
                </c:pt>
                <c:pt idx="301">
                  <c:v>141.94999100000001</c:v>
                </c:pt>
                <c:pt idx="302">
                  <c:v>142.333324</c:v>
                </c:pt>
                <c:pt idx="303">
                  <c:v>142.69999899999999</c:v>
                </c:pt>
                <c:pt idx="304">
                  <c:v>134.69999999999999</c:v>
                </c:pt>
                <c:pt idx="305">
                  <c:v>134.69999999999999</c:v>
                </c:pt>
                <c:pt idx="306">
                  <c:v>134.69999999999999</c:v>
                </c:pt>
                <c:pt idx="307">
                  <c:v>134.69999999999999</c:v>
                </c:pt>
                <c:pt idx="308">
                  <c:v>134.69999999999999</c:v>
                </c:pt>
                <c:pt idx="309">
                  <c:v>134.69999999999999</c:v>
                </c:pt>
                <c:pt idx="310">
                  <c:v>132.19999999999999</c:v>
                </c:pt>
                <c:pt idx="311">
                  <c:v>132.19999999999999</c:v>
                </c:pt>
                <c:pt idx="312">
                  <c:v>132.19999999999999</c:v>
                </c:pt>
                <c:pt idx="313">
                  <c:v>132.19999999999999</c:v>
                </c:pt>
                <c:pt idx="314">
                  <c:v>132.19999999999999</c:v>
                </c:pt>
                <c:pt idx="315">
                  <c:v>0</c:v>
                </c:pt>
                <c:pt idx="316">
                  <c:v>-24</c:v>
                </c:pt>
                <c:pt idx="317">
                  <c:v>-24</c:v>
                </c:pt>
                <c:pt idx="318">
                  <c:v>-30.5</c:v>
                </c:pt>
                <c:pt idx="319">
                  <c:v>-23.5</c:v>
                </c:pt>
                <c:pt idx="320">
                  <c:v>-24.316666666666666</c:v>
                </c:pt>
                <c:pt idx="321">
                  <c:v>-24.316666666666666</c:v>
                </c:pt>
                <c:pt idx="322">
                  <c:v>-25.05</c:v>
                </c:pt>
                <c:pt idx="323">
                  <c:v>-25.05</c:v>
                </c:pt>
                <c:pt idx="324">
                  <c:v>-25.05</c:v>
                </c:pt>
                <c:pt idx="325">
                  <c:v>-25.05</c:v>
                </c:pt>
                <c:pt idx="326">
                  <c:v>-25.05</c:v>
                </c:pt>
                <c:pt idx="327">
                  <c:v>-25.05</c:v>
                </c:pt>
                <c:pt idx="328">
                  <c:v>-25.83</c:v>
                </c:pt>
                <c:pt idx="329">
                  <c:v>-25.83</c:v>
                </c:pt>
                <c:pt idx="330">
                  <c:v>-25.83</c:v>
                </c:pt>
                <c:pt idx="331">
                  <c:v>-25.83</c:v>
                </c:pt>
                <c:pt idx="332">
                  <c:v>-25.83</c:v>
                </c:pt>
                <c:pt idx="333">
                  <c:v>-25.83</c:v>
                </c:pt>
                <c:pt idx="334">
                  <c:v>-25.83</c:v>
                </c:pt>
                <c:pt idx="335">
                  <c:v>-25.83</c:v>
                </c:pt>
                <c:pt idx="336">
                  <c:v>-25.83</c:v>
                </c:pt>
                <c:pt idx="337">
                  <c:v>-25.83</c:v>
                </c:pt>
                <c:pt idx="338">
                  <c:v>-25.83</c:v>
                </c:pt>
                <c:pt idx="339">
                  <c:v>-25.83</c:v>
                </c:pt>
                <c:pt idx="340">
                  <c:v>-25.83</c:v>
                </c:pt>
                <c:pt idx="341">
                  <c:v>-25.83</c:v>
                </c:pt>
                <c:pt idx="342">
                  <c:v>-25.83</c:v>
                </c:pt>
                <c:pt idx="343">
                  <c:v>-25.83</c:v>
                </c:pt>
                <c:pt idx="344">
                  <c:v>-25.83</c:v>
                </c:pt>
                <c:pt idx="345">
                  <c:v>-25.83</c:v>
                </c:pt>
                <c:pt idx="346">
                  <c:v>-25.83</c:v>
                </c:pt>
                <c:pt idx="347">
                  <c:v>-25.83</c:v>
                </c:pt>
                <c:pt idx="348">
                  <c:v>-25.83</c:v>
                </c:pt>
                <c:pt idx="349">
                  <c:v>-25.83</c:v>
                </c:pt>
                <c:pt idx="350">
                  <c:v>-25.83</c:v>
                </c:pt>
                <c:pt idx="351">
                  <c:v>-25.83</c:v>
                </c:pt>
                <c:pt idx="352">
                  <c:v>-25.83</c:v>
                </c:pt>
                <c:pt idx="353">
                  <c:v>-25.83</c:v>
                </c:pt>
                <c:pt idx="354">
                  <c:v>-26.158333333333331</c:v>
                </c:pt>
                <c:pt idx="355">
                  <c:v>-26.953055555555554</c:v>
                </c:pt>
                <c:pt idx="356">
                  <c:v>-27.885555555555555</c:v>
                </c:pt>
                <c:pt idx="357">
                  <c:v>-27.885555555555555</c:v>
                </c:pt>
                <c:pt idx="358">
                  <c:v>-27.885555555555555</c:v>
                </c:pt>
                <c:pt idx="359">
                  <c:v>-27.885555555555555</c:v>
                </c:pt>
                <c:pt idx="360">
                  <c:v>-27.885555555555555</c:v>
                </c:pt>
                <c:pt idx="361">
                  <c:v>-27.885555555555555</c:v>
                </c:pt>
                <c:pt idx="362">
                  <c:v>-27.885555555555555</c:v>
                </c:pt>
                <c:pt idx="363">
                  <c:v>-27.885555555555555</c:v>
                </c:pt>
                <c:pt idx="364">
                  <c:v>-27.885555555555555</c:v>
                </c:pt>
                <c:pt idx="365">
                  <c:v>-27.885555555555555</c:v>
                </c:pt>
                <c:pt idx="366">
                  <c:v>-28.419722222222223</c:v>
                </c:pt>
                <c:pt idx="367">
                  <c:v>-28.419722222222223</c:v>
                </c:pt>
                <c:pt idx="368">
                  <c:v>-30.066666666666666</c:v>
                </c:pt>
                <c:pt idx="369">
                  <c:v>-30.066666666666666</c:v>
                </c:pt>
                <c:pt idx="370">
                  <c:v>-30.066666666666666</c:v>
                </c:pt>
                <c:pt idx="371">
                  <c:v>-30.066666666666666</c:v>
                </c:pt>
                <c:pt idx="372">
                  <c:v>-30.066666666666666</c:v>
                </c:pt>
                <c:pt idx="373">
                  <c:v>-30.066666666666666</c:v>
                </c:pt>
                <c:pt idx="374">
                  <c:v>-30.066666666666666</c:v>
                </c:pt>
                <c:pt idx="375">
                  <c:v>-30.066666666666666</c:v>
                </c:pt>
                <c:pt idx="376">
                  <c:v>-30.066666666666666</c:v>
                </c:pt>
                <c:pt idx="377">
                  <c:v>-30.066666666666666</c:v>
                </c:pt>
                <c:pt idx="378">
                  <c:v>-30.066666666666666</c:v>
                </c:pt>
                <c:pt idx="379">
                  <c:v>-30.066666666666666</c:v>
                </c:pt>
                <c:pt idx="380">
                  <c:v>-30.328888888888887</c:v>
                </c:pt>
                <c:pt idx="381">
                  <c:v>-30.328888888888887</c:v>
                </c:pt>
                <c:pt idx="382">
                  <c:v>-30.328888888888887</c:v>
                </c:pt>
                <c:pt idx="383">
                  <c:v>-30.328888888888887</c:v>
                </c:pt>
                <c:pt idx="384">
                  <c:v>-30.328888888888887</c:v>
                </c:pt>
                <c:pt idx="385">
                  <c:v>-30.333333333333332</c:v>
                </c:pt>
                <c:pt idx="386">
                  <c:v>-30.333333333333332</c:v>
                </c:pt>
                <c:pt idx="387">
                  <c:v>-30.333333333333332</c:v>
                </c:pt>
                <c:pt idx="388">
                  <c:v>-30.333333333333332</c:v>
                </c:pt>
                <c:pt idx="389">
                  <c:v>-30.333333333333332</c:v>
                </c:pt>
                <c:pt idx="390">
                  <c:v>-30.333333333333332</c:v>
                </c:pt>
                <c:pt idx="391">
                  <c:v>-30.333333333333332</c:v>
                </c:pt>
                <c:pt idx="392">
                  <c:v>-30.333333333333332</c:v>
                </c:pt>
                <c:pt idx="393">
                  <c:v>-30.333333333333332</c:v>
                </c:pt>
                <c:pt idx="394">
                  <c:v>-30.333333333333332</c:v>
                </c:pt>
                <c:pt idx="395">
                  <c:v>-30.333333333333332</c:v>
                </c:pt>
                <c:pt idx="396">
                  <c:v>-30.333333333333332</c:v>
                </c:pt>
                <c:pt idx="397">
                  <c:v>-30.333333333333332</c:v>
                </c:pt>
                <c:pt idx="398">
                  <c:v>-30.5</c:v>
                </c:pt>
                <c:pt idx="399">
                  <c:v>-30.866666666666667</c:v>
                </c:pt>
                <c:pt idx="400">
                  <c:v>-30.866666666666667</c:v>
                </c:pt>
                <c:pt idx="401">
                  <c:v>-30.966666666666665</c:v>
                </c:pt>
                <c:pt idx="402">
                  <c:v>-30.966666666666665</c:v>
                </c:pt>
                <c:pt idx="403">
                  <c:v>-30.966666666666665</c:v>
                </c:pt>
                <c:pt idx="404">
                  <c:v>-30.966666666666665</c:v>
                </c:pt>
                <c:pt idx="405">
                  <c:v>-30.966666666666665</c:v>
                </c:pt>
                <c:pt idx="406">
                  <c:v>-30.966666666666665</c:v>
                </c:pt>
                <c:pt idx="407">
                  <c:v>-30.966666666666665</c:v>
                </c:pt>
                <c:pt idx="408">
                  <c:v>-30.966666666666665</c:v>
                </c:pt>
                <c:pt idx="409">
                  <c:v>-30.966666666666665</c:v>
                </c:pt>
                <c:pt idx="410">
                  <c:v>-30.966666666666665</c:v>
                </c:pt>
                <c:pt idx="411">
                  <c:v>-30.966666666666665</c:v>
                </c:pt>
                <c:pt idx="412">
                  <c:v>-30.966666666666665</c:v>
                </c:pt>
                <c:pt idx="413">
                  <c:v>-30.966666666666665</c:v>
                </c:pt>
                <c:pt idx="414">
                  <c:v>-31.066666666666666</c:v>
                </c:pt>
                <c:pt idx="415">
                  <c:v>-31.066666666666666</c:v>
                </c:pt>
                <c:pt idx="416">
                  <c:v>-31.066666666666666</c:v>
                </c:pt>
                <c:pt idx="417">
                  <c:v>-31.066666666666666</c:v>
                </c:pt>
                <c:pt idx="418">
                  <c:v>-31.066666666666666</c:v>
                </c:pt>
                <c:pt idx="419">
                  <c:v>-31.066666666666666</c:v>
                </c:pt>
                <c:pt idx="420">
                  <c:v>-31.066666666666666</c:v>
                </c:pt>
                <c:pt idx="421">
                  <c:v>-31.066666666666666</c:v>
                </c:pt>
                <c:pt idx="422">
                  <c:v>-31.066666666666666</c:v>
                </c:pt>
                <c:pt idx="423">
                  <c:v>-31.066666666666666</c:v>
                </c:pt>
                <c:pt idx="424">
                  <c:v>-31.066666666666666</c:v>
                </c:pt>
                <c:pt idx="425">
                  <c:v>-31.066666666666666</c:v>
                </c:pt>
                <c:pt idx="426">
                  <c:v>-31.066666666666666</c:v>
                </c:pt>
                <c:pt idx="427">
                  <c:v>-31.066666666666666</c:v>
                </c:pt>
                <c:pt idx="428">
                  <c:v>-31.166666666666668</c:v>
                </c:pt>
                <c:pt idx="429">
                  <c:v>-31.166666666666668</c:v>
                </c:pt>
                <c:pt idx="430">
                  <c:v>-31.166666666666668</c:v>
                </c:pt>
                <c:pt idx="431">
                  <c:v>-31.166666666666668</c:v>
                </c:pt>
                <c:pt idx="432">
                  <c:v>-31.166666666666668</c:v>
                </c:pt>
                <c:pt idx="433">
                  <c:v>-31.35</c:v>
                </c:pt>
                <c:pt idx="434">
                  <c:v>-31.35</c:v>
                </c:pt>
                <c:pt idx="435">
                  <c:v>-31.35</c:v>
                </c:pt>
                <c:pt idx="436">
                  <c:v>-31.35</c:v>
                </c:pt>
                <c:pt idx="437">
                  <c:v>-31.35</c:v>
                </c:pt>
                <c:pt idx="438">
                  <c:v>-31.35</c:v>
                </c:pt>
                <c:pt idx="439">
                  <c:v>-31.35</c:v>
                </c:pt>
                <c:pt idx="440">
                  <c:v>-31.35</c:v>
                </c:pt>
                <c:pt idx="441">
                  <c:v>-31.35</c:v>
                </c:pt>
                <c:pt idx="442">
                  <c:v>-31.35</c:v>
                </c:pt>
                <c:pt idx="443">
                  <c:v>-31.35</c:v>
                </c:pt>
                <c:pt idx="444">
                  <c:v>-31.35</c:v>
                </c:pt>
                <c:pt idx="445">
                  <c:v>-31.35</c:v>
                </c:pt>
                <c:pt idx="446">
                  <c:v>-31.35</c:v>
                </c:pt>
                <c:pt idx="447">
                  <c:v>-31.35</c:v>
                </c:pt>
                <c:pt idx="448">
                  <c:v>-31.35</c:v>
                </c:pt>
                <c:pt idx="449">
                  <c:v>-31.35</c:v>
                </c:pt>
                <c:pt idx="450">
                  <c:v>-31.35</c:v>
                </c:pt>
                <c:pt idx="451">
                  <c:v>-31.35</c:v>
                </c:pt>
                <c:pt idx="452">
                  <c:v>-31.35</c:v>
                </c:pt>
                <c:pt idx="453">
                  <c:v>-31.35</c:v>
                </c:pt>
                <c:pt idx="454">
                  <c:v>-31.35</c:v>
                </c:pt>
                <c:pt idx="455">
                  <c:v>-31.166666666666668</c:v>
                </c:pt>
                <c:pt idx="456">
                  <c:v>-31.166666666666668</c:v>
                </c:pt>
                <c:pt idx="457">
                  <c:v>-31.166666666666668</c:v>
                </c:pt>
                <c:pt idx="458">
                  <c:v>-31.166666666666668</c:v>
                </c:pt>
              </c:numCache>
            </c:numRef>
          </c:xVal>
          <c:yVal>
            <c:numRef>
              <c:f>Separate_Data!$F$2:$F$560</c:f>
              <c:numCache>
                <c:formatCode>General</c:formatCode>
                <c:ptCount val="559"/>
                <c:pt idx="186" formatCode="0.000000">
                  <c:v>-23.2666</c:v>
                </c:pt>
                <c:pt idx="187" formatCode="0.000000">
                  <c:v>-23.61664</c:v>
                </c:pt>
                <c:pt idx="188" formatCode="0.000000">
                  <c:v>-22</c:v>
                </c:pt>
                <c:pt idx="189" formatCode="0.000000">
                  <c:v>-22.004444444444399</c:v>
                </c:pt>
                <c:pt idx="190" formatCode="0.000000">
                  <c:v>-25.066671958656542</c:v>
                </c:pt>
                <c:pt idx="191" formatCode="0.000000">
                  <c:v>-25.183336997400581</c:v>
                </c:pt>
                <c:pt idx="192" formatCode="0.000000">
                  <c:v>-25.550001401957275</c:v>
                </c:pt>
                <c:pt idx="193" formatCode="0.000000">
                  <c:v>-31.016668112708739</c:v>
                </c:pt>
                <c:pt idx="194" formatCode="0.000000">
                  <c:v>-26.961112555242494</c:v>
                </c:pt>
                <c:pt idx="195" formatCode="0.000000">
                  <c:v>-25.716670659143855</c:v>
                </c:pt>
                <c:pt idx="196" formatCode="0.000000">
                  <c:v>-25.247227329824295</c:v>
                </c:pt>
                <c:pt idx="197" formatCode="0.000000">
                  <c:v>-25.650005663212461</c:v>
                </c:pt>
                <c:pt idx="198" formatCode="0.000000">
                  <c:v>-25.05000248417204</c:v>
                </c:pt>
                <c:pt idx="199" formatCode="0.000000">
                  <c:v>-27.100003909878268</c:v>
                </c:pt>
                <c:pt idx="200" formatCode="0.000000">
                  <c:v>-26.850007105790201</c:v>
                </c:pt>
                <c:pt idx="201" formatCode="0.000000">
                  <c:v>-26.850007105790201</c:v>
                </c:pt>
                <c:pt idx="202" formatCode="0.000000">
                  <c:v>-26.60000359388658</c:v>
                </c:pt>
                <c:pt idx="203" formatCode="0.000000">
                  <c:v>-25.772228340572386</c:v>
                </c:pt>
                <c:pt idx="204" formatCode="0.000000">
                  <c:v>-26.783336069980294</c:v>
                </c:pt>
                <c:pt idx="205" formatCode="0.000000">
                  <c:v>-26.050008780811122</c:v>
                </c:pt>
                <c:pt idx="206" formatCode="0.000000">
                  <c:v>-26.516670009519153</c:v>
                </c:pt>
                <c:pt idx="207" formatCode="0.000000">
                  <c:v>-26.516670009519153</c:v>
                </c:pt>
                <c:pt idx="208" formatCode="0.000000">
                  <c:v>-28.30000836453808</c:v>
                </c:pt>
                <c:pt idx="209" formatCode="0.000000">
                  <c:v>-25.750004369324941</c:v>
                </c:pt>
                <c:pt idx="210" formatCode="0.000000">
                  <c:v>-27.000001245503221</c:v>
                </c:pt>
                <c:pt idx="211" formatCode="0.000000">
                  <c:v>-27.050003408329328</c:v>
                </c:pt>
                <c:pt idx="212" formatCode="0.000000">
                  <c:v>-26.833334655980345</c:v>
                </c:pt>
                <c:pt idx="213" formatCode="0.000000">
                  <c:v>-26.831950495181164</c:v>
                </c:pt>
                <c:pt idx="214" formatCode="0.000000">
                  <c:v>-27.066667236916281</c:v>
                </c:pt>
                <c:pt idx="215" formatCode="0.000000">
                  <c:v>-27.23333947293402</c:v>
                </c:pt>
                <c:pt idx="216" formatCode="0.000000">
                  <c:v>-26.758333987917265</c:v>
                </c:pt>
                <c:pt idx="217" formatCode="0.000000">
                  <c:v>-26.666673118023041</c:v>
                </c:pt>
                <c:pt idx="218" formatCode="0.000000">
                  <c:v>-27.166672639859293</c:v>
                </c:pt>
                <c:pt idx="219" formatCode="0.000000">
                  <c:v>-26.600004453533963</c:v>
                </c:pt>
                <c:pt idx="220" formatCode="0.000000">
                  <c:v>-25.800006733827765</c:v>
                </c:pt>
                <c:pt idx="221" formatCode="0.000000">
                  <c:v>-26.183335833102536</c:v>
                </c:pt>
                <c:pt idx="222" formatCode="0.000000">
                  <c:v>-28.750002343816011</c:v>
                </c:pt>
                <c:pt idx="223" formatCode="0.000000">
                  <c:v>-28.916667066488106</c:v>
                </c:pt>
                <c:pt idx="224" formatCode="0.000000">
                  <c:v>-25.916673774814594</c:v>
                </c:pt>
                <c:pt idx="225" formatCode="0.000000">
                  <c:v>-31.366675679256065</c:v>
                </c:pt>
                <c:pt idx="226" formatCode="0.000000">
                  <c:v>-26.450008358447572</c:v>
                </c:pt>
                <c:pt idx="227" formatCode="0.000000">
                  <c:v>-31.323619340093831</c:v>
                </c:pt>
                <c:pt idx="228" formatCode="0.000000">
                  <c:v>-31.322227246634359</c:v>
                </c:pt>
                <c:pt idx="229" formatCode="0.000000">
                  <c:v>-31.202778636990612</c:v>
                </c:pt>
                <c:pt idx="230" formatCode="0.000000">
                  <c:v>-31.366672285473722</c:v>
                </c:pt>
                <c:pt idx="231" formatCode="0.000000">
                  <c:v>-31.248612038045145</c:v>
                </c:pt>
                <c:pt idx="232" formatCode="0.000000">
                  <c:v>-31.155558249132323</c:v>
                </c:pt>
                <c:pt idx="233" formatCode="0.000000">
                  <c:v>-31.294446991551716</c:v>
                </c:pt>
                <c:pt idx="234" formatCode="0.000000">
                  <c:v>-31.027786226829548</c:v>
                </c:pt>
                <c:pt idx="235" formatCode="0.000000">
                  <c:v>-31.033342176843497</c:v>
                </c:pt>
                <c:pt idx="236" formatCode="0.000000">
                  <c:v>-27.033334</c:v>
                </c:pt>
                <c:pt idx="237" formatCode="0.000000">
                  <c:v>-26.583338999999999</c:v>
                </c:pt>
                <c:pt idx="238" formatCode="0.000000">
                  <c:v>-26.566672000000001</c:v>
                </c:pt>
                <c:pt idx="239" formatCode="0.000000">
                  <c:v>-26.983335</c:v>
                </c:pt>
                <c:pt idx="240" formatCode="0.000000">
                  <c:v>-26.950005999999998</c:v>
                </c:pt>
                <c:pt idx="241" formatCode="0.000000">
                  <c:v>-26.950008</c:v>
                </c:pt>
                <c:pt idx="242" formatCode="0.000000">
                  <c:v>-26.041671999999998</c:v>
                </c:pt>
                <c:pt idx="243" formatCode="0.000000">
                  <c:v>-25.891670999999999</c:v>
                </c:pt>
                <c:pt idx="244" formatCode="0.000000">
                  <c:v>-25.800008999999999</c:v>
                </c:pt>
                <c:pt idx="245" formatCode="0.000000">
                  <c:v>-25.883337000000001</c:v>
                </c:pt>
                <c:pt idx="246" formatCode="0.000000">
                  <c:v>-25.958335999999999</c:v>
                </c:pt>
                <c:pt idx="247" formatCode="0.000000">
                  <c:v>-28.166668999999999</c:v>
                </c:pt>
                <c:pt idx="248" formatCode="0.000000">
                  <c:v>-27.966674999999999</c:v>
                </c:pt>
                <c:pt idx="249" formatCode="0.000000">
                  <c:v>-27.966674999999999</c:v>
                </c:pt>
                <c:pt idx="250" formatCode="0.000000">
                  <c:v>-28.225002</c:v>
                </c:pt>
                <c:pt idx="251" formatCode="0.000000">
                  <c:v>-28.183335</c:v>
                </c:pt>
                <c:pt idx="252" formatCode="0.000000">
                  <c:v>-26.200005000000001</c:v>
                </c:pt>
                <c:pt idx="253" formatCode="0.000000">
                  <c:v>-27.883338999999999</c:v>
                </c:pt>
                <c:pt idx="254" formatCode="0.000000">
                  <c:v>-27.900002000000001</c:v>
                </c:pt>
                <c:pt idx="255" formatCode="0.000000">
                  <c:v>-28.200006999999999</c:v>
                </c:pt>
                <c:pt idx="256" formatCode="0.000000">
                  <c:v>-28.200006999999999</c:v>
                </c:pt>
                <c:pt idx="257" formatCode="0.000000">
                  <c:v>-27.933336000000001</c:v>
                </c:pt>
                <c:pt idx="258" formatCode="0.000000">
                  <c:v>-28.025003000000002</c:v>
                </c:pt>
                <c:pt idx="259" formatCode="0.000000">
                  <c:v>-28.533334</c:v>
                </c:pt>
                <c:pt idx="260" formatCode="0.000000">
                  <c:v>-27.387250000000002</c:v>
                </c:pt>
                <c:pt idx="261" formatCode="0.000000">
                  <c:v>-28.800001000000002</c:v>
                </c:pt>
                <c:pt idx="262" formatCode="0.000000">
                  <c:v>-27.700008</c:v>
                </c:pt>
                <c:pt idx="263" formatCode="0.000000">
                  <c:v>-27.900006999999999</c:v>
                </c:pt>
                <c:pt idx="264" formatCode="0.000000">
                  <c:v>-29.433342</c:v>
                </c:pt>
                <c:pt idx="265" formatCode="0.000000">
                  <c:v>-25.883341999999999</c:v>
                </c:pt>
                <c:pt idx="266" formatCode="0.000000">
                  <c:v>-25.883341999999999</c:v>
                </c:pt>
                <c:pt idx="267" formatCode="0.000000">
                  <c:v>-26.216676</c:v>
                </c:pt>
                <c:pt idx="268" formatCode="0.000000">
                  <c:v>-32.385579999999997</c:v>
                </c:pt>
                <c:pt idx="269" formatCode="0.000000">
                  <c:v>-34.583336000000003</c:v>
                </c:pt>
                <c:pt idx="270" formatCode="0.000000">
                  <c:v>-27.666671000000001</c:v>
                </c:pt>
                <c:pt idx="271" formatCode="0.000000">
                  <c:v>-31.183337000000002</c:v>
                </c:pt>
                <c:pt idx="272" formatCode="0.000000">
                  <c:v>-33.200001999999998</c:v>
                </c:pt>
                <c:pt idx="273" formatCode="0.000000">
                  <c:v>-33.016666999999998</c:v>
                </c:pt>
                <c:pt idx="274" formatCode="0.000000">
                  <c:v>-33.033341</c:v>
                </c:pt>
                <c:pt idx="275" formatCode="0.000000">
                  <c:v>-33.050006000000003</c:v>
                </c:pt>
                <c:pt idx="276" formatCode="0.000000">
                  <c:v>-32.750000999999997</c:v>
                </c:pt>
                <c:pt idx="277" formatCode="0.000000">
                  <c:v>-29.500005000000002</c:v>
                </c:pt>
                <c:pt idx="278" formatCode="0.000000">
                  <c:v>-32.083337999999998</c:v>
                </c:pt>
                <c:pt idx="279" formatCode="0.000000">
                  <c:v>-30.550001000000002</c:v>
                </c:pt>
                <c:pt idx="280" formatCode="0.000000">
                  <c:v>-31.500001999999999</c:v>
                </c:pt>
                <c:pt idx="281" formatCode="0.000000">
                  <c:v>-29.392106999999999</c:v>
                </c:pt>
                <c:pt idx="282" formatCode="0.000000">
                  <c:v>-30.340722</c:v>
                </c:pt>
                <c:pt idx="283" formatCode="0.000000">
                  <c:v>-31.500005999999999</c:v>
                </c:pt>
                <c:pt idx="284" formatCode="0.000000">
                  <c:v>-32.15</c:v>
                </c:pt>
                <c:pt idx="285" formatCode="0.000000">
                  <c:v>-32.15</c:v>
                </c:pt>
                <c:pt idx="286" formatCode="0.000000">
                  <c:v>-32.15</c:v>
                </c:pt>
                <c:pt idx="287" formatCode="0.000000">
                  <c:v>-30.566666999999999</c:v>
                </c:pt>
                <c:pt idx="288" formatCode="0.000000">
                  <c:v>-30.683335</c:v>
                </c:pt>
                <c:pt idx="289" formatCode="0.000000">
                  <c:v>-30.966673</c:v>
                </c:pt>
                <c:pt idx="290" formatCode="0.000000">
                  <c:v>-30.175476</c:v>
                </c:pt>
                <c:pt idx="291" formatCode="0.000000">
                  <c:v>-30.666668000000001</c:v>
                </c:pt>
                <c:pt idx="292" formatCode="0.000000">
                  <c:v>-32.050001999999999</c:v>
                </c:pt>
                <c:pt idx="293" formatCode="0.000000">
                  <c:v>-32.719478000000002</c:v>
                </c:pt>
                <c:pt idx="294" formatCode="0.000000">
                  <c:v>-32.716669000000003</c:v>
                </c:pt>
                <c:pt idx="295" formatCode="0.000000">
                  <c:v>-34.225009</c:v>
                </c:pt>
                <c:pt idx="296" formatCode="0.000000">
                  <c:v>-37.833334000000001</c:v>
                </c:pt>
                <c:pt idx="297" formatCode="0.000000">
                  <c:v>-32.450007999999997</c:v>
                </c:pt>
                <c:pt idx="298" formatCode="0.000000">
                  <c:v>-31.183336000000001</c:v>
                </c:pt>
                <c:pt idx="299" formatCode="0.000000">
                  <c:v>-29.083341000000001</c:v>
                </c:pt>
                <c:pt idx="300" formatCode="0.000000">
                  <c:v>-29.083337</c:v>
                </c:pt>
                <c:pt idx="301" formatCode="0.000000">
                  <c:v>-29.033332999999999</c:v>
                </c:pt>
                <c:pt idx="302" formatCode="0.000000">
                  <c:v>-32.666671999999998</c:v>
                </c:pt>
                <c:pt idx="303" formatCode="0.000000">
                  <c:v>-31.116669999999999</c:v>
                </c:pt>
                <c:pt idx="304">
                  <c:v>-23.45</c:v>
                </c:pt>
                <c:pt idx="305">
                  <c:v>-23.45</c:v>
                </c:pt>
                <c:pt idx="306">
                  <c:v>-23.45</c:v>
                </c:pt>
                <c:pt idx="307">
                  <c:v>-23.45</c:v>
                </c:pt>
                <c:pt idx="308">
                  <c:v>-23.45</c:v>
                </c:pt>
                <c:pt idx="309">
                  <c:v>-23.45</c:v>
                </c:pt>
                <c:pt idx="310">
                  <c:v>-24.433333333333334</c:v>
                </c:pt>
                <c:pt idx="311">
                  <c:v>-24.433333333333334</c:v>
                </c:pt>
                <c:pt idx="312">
                  <c:v>-24.433333333333334</c:v>
                </c:pt>
                <c:pt idx="313">
                  <c:v>-24.433333333333334</c:v>
                </c:pt>
                <c:pt idx="314">
                  <c:v>-24.433333333333334</c:v>
                </c:pt>
                <c:pt idx="315">
                  <c:v>0</c:v>
                </c:pt>
                <c:pt idx="316">
                  <c:v>133</c:v>
                </c:pt>
                <c:pt idx="317">
                  <c:v>133</c:v>
                </c:pt>
                <c:pt idx="318">
                  <c:v>119.66666666666667</c:v>
                </c:pt>
                <c:pt idx="319">
                  <c:v>134.5</c:v>
                </c:pt>
                <c:pt idx="320">
                  <c:v>131.68333333333334</c:v>
                </c:pt>
                <c:pt idx="321">
                  <c:v>131.68333333333334</c:v>
                </c:pt>
                <c:pt idx="322">
                  <c:v>124.98333333333333</c:v>
                </c:pt>
                <c:pt idx="323">
                  <c:v>124.98333333333333</c:v>
                </c:pt>
                <c:pt idx="324">
                  <c:v>124.98333333333333</c:v>
                </c:pt>
                <c:pt idx="325">
                  <c:v>124.98333333333333</c:v>
                </c:pt>
                <c:pt idx="326">
                  <c:v>124.98333333333333</c:v>
                </c:pt>
                <c:pt idx="327">
                  <c:v>124.98333333333333</c:v>
                </c:pt>
                <c:pt idx="328">
                  <c:v>134.19833333333332</c:v>
                </c:pt>
                <c:pt idx="329">
                  <c:v>134.19833333333332</c:v>
                </c:pt>
                <c:pt idx="330">
                  <c:v>134.19833333333332</c:v>
                </c:pt>
                <c:pt idx="331">
                  <c:v>134.19833333333332</c:v>
                </c:pt>
                <c:pt idx="332">
                  <c:v>134.19833333333332</c:v>
                </c:pt>
                <c:pt idx="333">
                  <c:v>134.19833333333332</c:v>
                </c:pt>
                <c:pt idx="334">
                  <c:v>134.19833333333332</c:v>
                </c:pt>
                <c:pt idx="335">
                  <c:v>134.19833333333332</c:v>
                </c:pt>
                <c:pt idx="336">
                  <c:v>134.19833333333332</c:v>
                </c:pt>
                <c:pt idx="337">
                  <c:v>134.19833333333332</c:v>
                </c:pt>
                <c:pt idx="338">
                  <c:v>134.19833333333332</c:v>
                </c:pt>
                <c:pt idx="339">
                  <c:v>134.19833333333332</c:v>
                </c:pt>
                <c:pt idx="340">
                  <c:v>134.19833333333332</c:v>
                </c:pt>
                <c:pt idx="341">
                  <c:v>134.19833333333332</c:v>
                </c:pt>
                <c:pt idx="342">
                  <c:v>134.19833333333332</c:v>
                </c:pt>
                <c:pt idx="343">
                  <c:v>134.19833333333332</c:v>
                </c:pt>
                <c:pt idx="344">
                  <c:v>134.19833333333332</c:v>
                </c:pt>
                <c:pt idx="345">
                  <c:v>134.19833333333332</c:v>
                </c:pt>
                <c:pt idx="346">
                  <c:v>134.19833333333332</c:v>
                </c:pt>
                <c:pt idx="347">
                  <c:v>134.19833333333332</c:v>
                </c:pt>
                <c:pt idx="348">
                  <c:v>134.19833333333332</c:v>
                </c:pt>
                <c:pt idx="349">
                  <c:v>134.19833333333332</c:v>
                </c:pt>
                <c:pt idx="350">
                  <c:v>134.19833333333332</c:v>
                </c:pt>
                <c:pt idx="351">
                  <c:v>134.19833333333332</c:v>
                </c:pt>
                <c:pt idx="352">
                  <c:v>134.19833333333332</c:v>
                </c:pt>
                <c:pt idx="353">
                  <c:v>134.19833333333332</c:v>
                </c:pt>
                <c:pt idx="354">
                  <c:v>127.91333333333334</c:v>
                </c:pt>
                <c:pt idx="355">
                  <c:v>133.4986111111111</c:v>
                </c:pt>
                <c:pt idx="356">
                  <c:v>134.31722222222223</c:v>
                </c:pt>
                <c:pt idx="357">
                  <c:v>134.31722222222223</c:v>
                </c:pt>
                <c:pt idx="358">
                  <c:v>134.31722222222223</c:v>
                </c:pt>
                <c:pt idx="359">
                  <c:v>134.31722222222223</c:v>
                </c:pt>
                <c:pt idx="360">
                  <c:v>134.31722222222223</c:v>
                </c:pt>
                <c:pt idx="361">
                  <c:v>134.31722222222223</c:v>
                </c:pt>
                <c:pt idx="362">
                  <c:v>134.31722222222223</c:v>
                </c:pt>
                <c:pt idx="363">
                  <c:v>134.31722222222223</c:v>
                </c:pt>
                <c:pt idx="364">
                  <c:v>134.31722222222223</c:v>
                </c:pt>
                <c:pt idx="365">
                  <c:v>134.31722222222223</c:v>
                </c:pt>
                <c:pt idx="366">
                  <c:v>122.97694444444444</c:v>
                </c:pt>
                <c:pt idx="367">
                  <c:v>122.97694444444444</c:v>
                </c:pt>
                <c:pt idx="368">
                  <c:v>142.56666666666666</c:v>
                </c:pt>
                <c:pt idx="369">
                  <c:v>142.56666666666666</c:v>
                </c:pt>
                <c:pt idx="370">
                  <c:v>142.56666666666666</c:v>
                </c:pt>
                <c:pt idx="371">
                  <c:v>142.56666666666666</c:v>
                </c:pt>
                <c:pt idx="372">
                  <c:v>142.56666666666666</c:v>
                </c:pt>
                <c:pt idx="373">
                  <c:v>142.56666666666666</c:v>
                </c:pt>
                <c:pt idx="374">
                  <c:v>142.56666666666666</c:v>
                </c:pt>
                <c:pt idx="375">
                  <c:v>142.56666666666666</c:v>
                </c:pt>
                <c:pt idx="376">
                  <c:v>142.56666666666666</c:v>
                </c:pt>
                <c:pt idx="377">
                  <c:v>142.56666666666666</c:v>
                </c:pt>
                <c:pt idx="378">
                  <c:v>142.56666666666666</c:v>
                </c:pt>
                <c:pt idx="379">
                  <c:v>142.56666666666666</c:v>
                </c:pt>
                <c:pt idx="380">
                  <c:v>123.26722222222222</c:v>
                </c:pt>
                <c:pt idx="381">
                  <c:v>123.26722222222222</c:v>
                </c:pt>
                <c:pt idx="382">
                  <c:v>123.26722222222222</c:v>
                </c:pt>
                <c:pt idx="383">
                  <c:v>123.26722222222222</c:v>
                </c:pt>
                <c:pt idx="384">
                  <c:v>123.26722222222222</c:v>
                </c:pt>
                <c:pt idx="385">
                  <c:v>139.33333333333334</c:v>
                </c:pt>
                <c:pt idx="386">
                  <c:v>139.33333333333334</c:v>
                </c:pt>
                <c:pt idx="387">
                  <c:v>139.33333333333334</c:v>
                </c:pt>
                <c:pt idx="388">
                  <c:v>139.33333333333334</c:v>
                </c:pt>
                <c:pt idx="389">
                  <c:v>139.33333333333334</c:v>
                </c:pt>
                <c:pt idx="390">
                  <c:v>139.33333333333334</c:v>
                </c:pt>
                <c:pt idx="391">
                  <c:v>139.33333333333334</c:v>
                </c:pt>
                <c:pt idx="392">
                  <c:v>139.33333333333334</c:v>
                </c:pt>
                <c:pt idx="393">
                  <c:v>139.33333333333334</c:v>
                </c:pt>
                <c:pt idx="394">
                  <c:v>139.33333333333334</c:v>
                </c:pt>
                <c:pt idx="395">
                  <c:v>139.33333333333334</c:v>
                </c:pt>
                <c:pt idx="396">
                  <c:v>139.33333333333334</c:v>
                </c:pt>
                <c:pt idx="397">
                  <c:v>139.33333333333334</c:v>
                </c:pt>
                <c:pt idx="398">
                  <c:v>119.66666666666667</c:v>
                </c:pt>
                <c:pt idx="399">
                  <c:v>142.6</c:v>
                </c:pt>
                <c:pt idx="400">
                  <c:v>142.6</c:v>
                </c:pt>
                <c:pt idx="401">
                  <c:v>139.33333333333334</c:v>
                </c:pt>
                <c:pt idx="402">
                  <c:v>139.33333333333334</c:v>
                </c:pt>
                <c:pt idx="403">
                  <c:v>139.33333333333334</c:v>
                </c:pt>
                <c:pt idx="404">
                  <c:v>139.33333333333334</c:v>
                </c:pt>
                <c:pt idx="405">
                  <c:v>139.33333333333334</c:v>
                </c:pt>
                <c:pt idx="406">
                  <c:v>139.33333333333334</c:v>
                </c:pt>
                <c:pt idx="407">
                  <c:v>139.33333333333334</c:v>
                </c:pt>
                <c:pt idx="408">
                  <c:v>139.33333333333334</c:v>
                </c:pt>
                <c:pt idx="409">
                  <c:v>139.33333333333334</c:v>
                </c:pt>
                <c:pt idx="410">
                  <c:v>139.33333333333334</c:v>
                </c:pt>
                <c:pt idx="411">
                  <c:v>139.33333333333334</c:v>
                </c:pt>
                <c:pt idx="412">
                  <c:v>139.33333333333334</c:v>
                </c:pt>
                <c:pt idx="413">
                  <c:v>139.33333333333334</c:v>
                </c:pt>
                <c:pt idx="414">
                  <c:v>142.56666666666666</c:v>
                </c:pt>
                <c:pt idx="415">
                  <c:v>142.56666666666666</c:v>
                </c:pt>
                <c:pt idx="416">
                  <c:v>142.56666666666666</c:v>
                </c:pt>
                <c:pt idx="417">
                  <c:v>142.56666666666666</c:v>
                </c:pt>
                <c:pt idx="418">
                  <c:v>142.56666666666666</c:v>
                </c:pt>
                <c:pt idx="419">
                  <c:v>142.56666666666666</c:v>
                </c:pt>
                <c:pt idx="420">
                  <c:v>142.56666666666666</c:v>
                </c:pt>
                <c:pt idx="421">
                  <c:v>142.56666666666666</c:v>
                </c:pt>
                <c:pt idx="422">
                  <c:v>142.56666666666666</c:v>
                </c:pt>
                <c:pt idx="423">
                  <c:v>142.56666666666666</c:v>
                </c:pt>
                <c:pt idx="424">
                  <c:v>142.56666666666666</c:v>
                </c:pt>
                <c:pt idx="425">
                  <c:v>142.56666666666666</c:v>
                </c:pt>
                <c:pt idx="426">
                  <c:v>142.56666666666666</c:v>
                </c:pt>
                <c:pt idx="427">
                  <c:v>142.56666666666666</c:v>
                </c:pt>
                <c:pt idx="428">
                  <c:v>142.6</c:v>
                </c:pt>
                <c:pt idx="429">
                  <c:v>142.6</c:v>
                </c:pt>
                <c:pt idx="430">
                  <c:v>142.6</c:v>
                </c:pt>
                <c:pt idx="431">
                  <c:v>142.6</c:v>
                </c:pt>
                <c:pt idx="432">
                  <c:v>142.6</c:v>
                </c:pt>
                <c:pt idx="433">
                  <c:v>138.55000000000001</c:v>
                </c:pt>
                <c:pt idx="434">
                  <c:v>138.55000000000001</c:v>
                </c:pt>
                <c:pt idx="435">
                  <c:v>138.55000000000001</c:v>
                </c:pt>
                <c:pt idx="436">
                  <c:v>138.55000000000001</c:v>
                </c:pt>
                <c:pt idx="437">
                  <c:v>138.55000000000001</c:v>
                </c:pt>
                <c:pt idx="438">
                  <c:v>138.55000000000001</c:v>
                </c:pt>
                <c:pt idx="439">
                  <c:v>138.55000000000001</c:v>
                </c:pt>
                <c:pt idx="440">
                  <c:v>138.55000000000001</c:v>
                </c:pt>
                <c:pt idx="441">
                  <c:v>138.55000000000001</c:v>
                </c:pt>
                <c:pt idx="442">
                  <c:v>138.55000000000001</c:v>
                </c:pt>
                <c:pt idx="443">
                  <c:v>138.55000000000001</c:v>
                </c:pt>
                <c:pt idx="444">
                  <c:v>138.55000000000001</c:v>
                </c:pt>
                <c:pt idx="445">
                  <c:v>138.55000000000001</c:v>
                </c:pt>
                <c:pt idx="446">
                  <c:v>138.55000000000001</c:v>
                </c:pt>
                <c:pt idx="447">
                  <c:v>138.55000000000001</c:v>
                </c:pt>
                <c:pt idx="448">
                  <c:v>138.55000000000001</c:v>
                </c:pt>
                <c:pt idx="449">
                  <c:v>138.55000000000001</c:v>
                </c:pt>
                <c:pt idx="450">
                  <c:v>138.55000000000001</c:v>
                </c:pt>
                <c:pt idx="451">
                  <c:v>138.55000000000001</c:v>
                </c:pt>
                <c:pt idx="452">
                  <c:v>138.55000000000001</c:v>
                </c:pt>
                <c:pt idx="453">
                  <c:v>138.55000000000001</c:v>
                </c:pt>
                <c:pt idx="454">
                  <c:v>138.55000000000001</c:v>
                </c:pt>
                <c:pt idx="455">
                  <c:v>142.6</c:v>
                </c:pt>
                <c:pt idx="456">
                  <c:v>142.6</c:v>
                </c:pt>
                <c:pt idx="457">
                  <c:v>142.6</c:v>
                </c:pt>
                <c:pt idx="458">
                  <c:v>142.6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B-4322-A8A7-39DE89062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82352"/>
        <c:axId val="1"/>
      </c:scatterChart>
      <c:valAx>
        <c:axId val="1088182352"/>
        <c:scaling>
          <c:orientation val="minMax"/>
          <c:max val="145"/>
          <c:min val="110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Long</a:t>
                </a:r>
              </a:p>
            </c:rich>
          </c:tx>
          <c:layout>
            <c:manualLayout>
              <c:xMode val="edge"/>
              <c:yMode val="edge"/>
              <c:x val="0.48190279214064113"/>
              <c:y val="0.940677966101694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-19"/>
          <c:min val="-3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Lat</a:t>
                </a:r>
              </a:p>
            </c:rich>
          </c:tx>
          <c:layout>
            <c:manualLayout>
              <c:xMode val="edge"/>
              <c:yMode val="edge"/>
              <c:x val="2.0682523267838678E-3"/>
              <c:y val="0.501694915254237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81823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408479834539815"/>
          <c:y val="0.77457627118644068"/>
          <c:w val="0.28335056876938991"/>
          <c:h val="0.883050847457627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3E07E5E-0F11-412D-A73A-1A387F7BA3CF}">
  <sheetPr/>
  <sheetViews>
    <sheetView zoomScale="103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845768-7CBB-4EE0-BE1D-ED9A295997A3}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B34A8EA-0C1A-16D9-F200-269A474CD1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FB042106-BDE7-0E1F-A35A-6C87DDFFFB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4</xdr:col>
          <xdr:colOff>200025</xdr:colOff>
          <xdr:row>20</xdr:row>
          <xdr:rowOff>190500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6BFDBFF-AC0B-2B35-DF8A-569456B835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4</xdr:col>
          <xdr:colOff>276225</xdr:colOff>
          <xdr:row>19</xdr:row>
          <xdr:rowOff>9525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53B7127-09B8-5140-C55A-C4DFBCA7F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hyperlink" Target="http://office.microsoft.com/en-au/excel-help/save-a-workbook-in-another-file-format-HA102840050.aspx?CTT=1" TargetMode="External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93C2-C947-4412-ABF1-04B3E362C554}">
  <dimension ref="A1:G274"/>
  <sheetViews>
    <sheetView workbookViewId="0">
      <selection sqref="A1:IV65536"/>
    </sheetView>
  </sheetViews>
  <sheetFormatPr defaultRowHeight="12.75"/>
  <cols>
    <col min="3" max="4" width="12.140625" customWidth="1"/>
  </cols>
  <sheetData>
    <row r="1" spans="1:7">
      <c r="A1" t="s">
        <v>0</v>
      </c>
      <c r="B1" t="s">
        <v>0</v>
      </c>
      <c r="C1" t="str">
        <f>FossilMiddens!I1</f>
        <v>Longitude</v>
      </c>
      <c r="D1" t="str">
        <f>FossilMiddens!H1</f>
        <v>Latitude</v>
      </c>
      <c r="E1" t="s">
        <v>1</v>
      </c>
      <c r="F1" t="s">
        <v>2</v>
      </c>
      <c r="G1" t="s">
        <v>3</v>
      </c>
    </row>
    <row r="2" spans="1:7">
      <c r="A2" t="str">
        <f>FossilMiddens!A2</f>
        <v>ARLTP5</v>
      </c>
      <c r="B2" t="s">
        <v>4</v>
      </c>
      <c r="C2">
        <f>FossilMiddens!I2</f>
        <v>-23.45</v>
      </c>
      <c r="D2">
        <f>FossilMiddens!H2</f>
        <v>134.69999999999999</v>
      </c>
      <c r="E2">
        <v>660.01700000000005</v>
      </c>
      <c r="F2">
        <v>661.952</v>
      </c>
      <c r="G2">
        <v>-1.9349999999999454</v>
      </c>
    </row>
    <row r="3" spans="1:7">
      <c r="A3" t="str">
        <f>FossilMiddens!A3</f>
        <v>ARLT01</v>
      </c>
      <c r="B3" t="s">
        <v>5</v>
      </c>
      <c r="C3">
        <f>FossilMiddens!I3</f>
        <v>-23.45</v>
      </c>
      <c r="D3">
        <f>FossilMiddens!H3</f>
        <v>134.69999999999999</v>
      </c>
      <c r="E3">
        <v>660.01700000000005</v>
      </c>
      <c r="F3">
        <v>661.952</v>
      </c>
      <c r="G3">
        <v>-1.9349999999999454</v>
      </c>
    </row>
    <row r="4" spans="1:7">
      <c r="A4" t="str">
        <f>FossilMiddens!A4</f>
        <v>ARLTN15</v>
      </c>
      <c r="B4" t="s">
        <v>6</v>
      </c>
      <c r="C4">
        <f>FossilMiddens!I4</f>
        <v>-23.45</v>
      </c>
      <c r="D4">
        <f>FossilMiddens!H4</f>
        <v>134.69999999999999</v>
      </c>
      <c r="E4">
        <v>660.01700000000005</v>
      </c>
      <c r="F4">
        <v>661.952</v>
      </c>
      <c r="G4">
        <v>-1.9349999999999454</v>
      </c>
    </row>
    <row r="5" spans="1:7">
      <c r="A5" t="str">
        <f>FossilMiddens!A5</f>
        <v>ARLTH10</v>
      </c>
      <c r="B5" t="s">
        <v>7</v>
      </c>
      <c r="C5">
        <f>FossilMiddens!I5</f>
        <v>-23.45</v>
      </c>
      <c r="D5">
        <f>FossilMiddens!H5</f>
        <v>134.69999999999999</v>
      </c>
      <c r="E5">
        <v>660.01700000000005</v>
      </c>
      <c r="F5">
        <v>661.952</v>
      </c>
      <c r="G5">
        <v>-1.9349999999999454</v>
      </c>
    </row>
    <row r="6" spans="1:7">
      <c r="A6" t="str">
        <f>FossilMiddens!A6</f>
        <v>ARLTK2</v>
      </c>
      <c r="B6" t="s">
        <v>8</v>
      </c>
      <c r="C6">
        <f>FossilMiddens!I6</f>
        <v>-23.45</v>
      </c>
      <c r="D6">
        <f>FossilMiddens!H6</f>
        <v>134.69999999999999</v>
      </c>
      <c r="E6">
        <v>660.01700000000005</v>
      </c>
      <c r="F6">
        <v>661.952</v>
      </c>
      <c r="G6">
        <v>-1.9349999999999454</v>
      </c>
    </row>
    <row r="7" spans="1:7">
      <c r="A7" t="str">
        <f>FossilMiddens!A7</f>
        <v>ARLTG8</v>
      </c>
      <c r="B7" t="s">
        <v>9</v>
      </c>
      <c r="C7">
        <f>FossilMiddens!I7</f>
        <v>-23.45</v>
      </c>
      <c r="D7">
        <f>FossilMiddens!H7</f>
        <v>134.69999999999999</v>
      </c>
      <c r="E7">
        <v>660.01700000000005</v>
      </c>
      <c r="F7">
        <v>661.952</v>
      </c>
      <c r="G7">
        <v>-1.9349999999999454</v>
      </c>
    </row>
    <row r="8" spans="1:7">
      <c r="A8" t="str">
        <f>FossilMiddens!A8</f>
        <v>FinkeG15</v>
      </c>
      <c r="B8" t="s">
        <v>10</v>
      </c>
      <c r="C8">
        <f>FossilMiddens!I8</f>
        <v>-24.433333333333334</v>
      </c>
      <c r="D8">
        <f>FossilMiddens!H8</f>
        <v>132.19999999999999</v>
      </c>
      <c r="E8">
        <v>593.99900000000002</v>
      </c>
      <c r="F8">
        <v>558.43700000000001</v>
      </c>
      <c r="G8">
        <v>35.562000000000012</v>
      </c>
    </row>
    <row r="9" spans="1:7">
      <c r="A9" t="str">
        <f>FossilMiddens!A9</f>
        <v>FinkeI16</v>
      </c>
      <c r="B9" t="s">
        <v>11</v>
      </c>
      <c r="C9">
        <f>FossilMiddens!I9</f>
        <v>-24.433333333333334</v>
      </c>
      <c r="D9">
        <f>FossilMiddens!H9</f>
        <v>132.19999999999999</v>
      </c>
      <c r="E9">
        <v>593.99900000000002</v>
      </c>
      <c r="F9">
        <v>558.43700000000001</v>
      </c>
      <c r="G9">
        <v>35.562000000000012</v>
      </c>
    </row>
    <row r="10" spans="1:7">
      <c r="A10" t="str">
        <f>FossilMiddens!A10</f>
        <v>FinkeA22</v>
      </c>
      <c r="B10" t="s">
        <v>12</v>
      </c>
      <c r="C10">
        <f>FossilMiddens!I10</f>
        <v>-24.433333333333334</v>
      </c>
      <c r="D10">
        <f>FossilMiddens!H10</f>
        <v>132.19999999999999</v>
      </c>
      <c r="E10">
        <v>593.99900000000002</v>
      </c>
      <c r="F10">
        <v>558.43700000000001</v>
      </c>
      <c r="G10">
        <v>35.562000000000012</v>
      </c>
    </row>
    <row r="11" spans="1:7">
      <c r="A11" t="str">
        <f>FossilMiddens!A11</f>
        <v>FinkeH19</v>
      </c>
      <c r="B11" t="s">
        <v>13</v>
      </c>
      <c r="C11">
        <f>FossilMiddens!I11</f>
        <v>-24.433333333333334</v>
      </c>
      <c r="D11">
        <f>FossilMiddens!H11</f>
        <v>132.19999999999999</v>
      </c>
      <c r="E11">
        <v>593.99900000000002</v>
      </c>
      <c r="F11">
        <v>558.43700000000001</v>
      </c>
      <c r="G11">
        <v>35.562000000000012</v>
      </c>
    </row>
    <row r="12" spans="1:7">
      <c r="A12" t="str">
        <f>FossilMiddens!A12</f>
        <v>FinkeF4</v>
      </c>
      <c r="B12" t="s">
        <v>14</v>
      </c>
      <c r="C12">
        <f>FossilMiddens!I12</f>
        <v>-24.433333333333334</v>
      </c>
      <c r="D12">
        <f>FossilMiddens!H12</f>
        <v>132.19999999999999</v>
      </c>
      <c r="E12">
        <v>593.99900000000002</v>
      </c>
      <c r="F12">
        <v>558.43700000000001</v>
      </c>
      <c r="G12">
        <v>35.562000000000012</v>
      </c>
    </row>
    <row r="13" spans="1:7">
      <c r="A13" t="str">
        <f>FossilMiddens!A14</f>
        <v xml:space="preserve">Nelson et al (1990) , </v>
      </c>
      <c r="B13" t="s">
        <v>15</v>
      </c>
      <c r="C13">
        <f>FossilMiddens!I14</f>
        <v>-24</v>
      </c>
      <c r="D13">
        <f>FossilMiddens!H14</f>
        <v>133</v>
      </c>
      <c r="E13">
        <v>653.97</v>
      </c>
      <c r="F13">
        <v>632.971</v>
      </c>
      <c r="G13">
        <v>20.999000000000024</v>
      </c>
    </row>
    <row r="14" spans="1:7">
      <c r="A14" t="str">
        <f>FossilMiddens!A15</f>
        <v xml:space="preserve">Nelson et al (1990) , </v>
      </c>
      <c r="B14" t="s">
        <v>16</v>
      </c>
      <c r="C14">
        <f>FossilMiddens!I15</f>
        <v>-24</v>
      </c>
      <c r="D14">
        <f>FossilMiddens!H15</f>
        <v>133</v>
      </c>
      <c r="E14">
        <v>653.97</v>
      </c>
      <c r="F14">
        <v>632.971</v>
      </c>
      <c r="G14">
        <v>20.999000000000024</v>
      </c>
    </row>
    <row r="15" spans="1:7">
      <c r="A15" t="str">
        <f>FossilMiddens!A16</f>
        <v>M0236</v>
      </c>
      <c r="B15" t="s">
        <v>17</v>
      </c>
      <c r="C15">
        <f>FossilMiddens!I16</f>
        <v>-30.5</v>
      </c>
      <c r="D15">
        <f>FossilMiddens!H16</f>
        <v>119.66666666666667</v>
      </c>
      <c r="E15">
        <v>625.00199999999995</v>
      </c>
      <c r="F15">
        <v>434.71300000000002</v>
      </c>
      <c r="G15">
        <v>190.28899999999993</v>
      </c>
    </row>
    <row r="16" spans="1:7">
      <c r="A16" t="str">
        <f>FossilMiddens!A17</f>
        <v>CRA9</v>
      </c>
      <c r="B16" t="s">
        <v>18</v>
      </c>
      <c r="C16">
        <f>FossilMiddens!I17</f>
        <v>-23.5</v>
      </c>
      <c r="D16">
        <f>FossilMiddens!H17</f>
        <v>134.5</v>
      </c>
      <c r="E16">
        <v>610.01900000000001</v>
      </c>
      <c r="F16">
        <v>599.41300000000001</v>
      </c>
      <c r="G16">
        <v>10.605999999999995</v>
      </c>
    </row>
    <row r="17" spans="1:7">
      <c r="A17" t="str">
        <f>FossilMiddens!A18</f>
        <v>Berry (1993)</v>
      </c>
      <c r="B17" t="s">
        <v>19</v>
      </c>
      <c r="C17">
        <f>FossilMiddens!I18</f>
        <v>-24.316666666666666</v>
      </c>
      <c r="D17">
        <f>FossilMiddens!H18</f>
        <v>131.68333333333334</v>
      </c>
      <c r="E17">
        <v>650.00599999999997</v>
      </c>
      <c r="F17">
        <v>736.63400000000001</v>
      </c>
      <c r="G17">
        <v>-86.628000000000043</v>
      </c>
    </row>
    <row r="18" spans="1:7">
      <c r="A18" t="str">
        <f>FossilMiddens!A19</f>
        <v>Berry (1993)</v>
      </c>
      <c r="B18" t="s">
        <v>20</v>
      </c>
      <c r="C18">
        <f>FossilMiddens!I19</f>
        <v>-24.316666666666666</v>
      </c>
      <c r="D18">
        <f>FossilMiddens!H19</f>
        <v>131.68333333333334</v>
      </c>
      <c r="E18">
        <v>650.00599999999997</v>
      </c>
      <c r="F18">
        <v>736.63400000000001</v>
      </c>
      <c r="G18">
        <v>-86.628000000000043</v>
      </c>
    </row>
    <row r="19" spans="1:7">
      <c r="A19" t="str">
        <f>FossilMiddens!A20</f>
        <v>M0505</v>
      </c>
      <c r="B19" t="s">
        <v>21</v>
      </c>
      <c r="C19">
        <f>FossilMiddens!I20</f>
        <v>-25.05</v>
      </c>
      <c r="D19">
        <f>FossilMiddens!H20</f>
        <v>124.98333333333333</v>
      </c>
      <c r="E19">
        <v>546.00099999999998</v>
      </c>
      <c r="F19">
        <v>531.35500000000002</v>
      </c>
      <c r="G19">
        <v>14.645999999999958</v>
      </c>
    </row>
    <row r="20" spans="1:7">
      <c r="A20" t="str">
        <f>FossilMiddens!A21</f>
        <v>M05170b</v>
      </c>
      <c r="B20" t="s">
        <v>22</v>
      </c>
      <c r="C20">
        <f>FossilMiddens!I21</f>
        <v>-25.05</v>
      </c>
      <c r="D20">
        <f>FossilMiddens!H21</f>
        <v>124.98333333333333</v>
      </c>
      <c r="E20">
        <v>546.00099999999998</v>
      </c>
      <c r="F20">
        <v>531.35500000000002</v>
      </c>
      <c r="G20">
        <v>14.645999999999958</v>
      </c>
    </row>
    <row r="21" spans="1:7">
      <c r="A21" t="str">
        <f>FossilMiddens!A22</f>
        <v>M06</v>
      </c>
      <c r="B21" t="s">
        <v>23</v>
      </c>
      <c r="C21">
        <f>FossilMiddens!I22</f>
        <v>-25.05</v>
      </c>
      <c r="D21">
        <f>FossilMiddens!H22</f>
        <v>124.98333333333333</v>
      </c>
      <c r="E21">
        <v>546.00099999999998</v>
      </c>
      <c r="F21">
        <v>531.35500000000002</v>
      </c>
      <c r="G21">
        <v>14.645999999999958</v>
      </c>
    </row>
    <row r="22" spans="1:7">
      <c r="A22" t="str">
        <f>FossilMiddens!A23</f>
        <v>M0652</v>
      </c>
      <c r="B22" t="s">
        <v>24</v>
      </c>
      <c r="C22">
        <f>FossilMiddens!I23</f>
        <v>-25.05</v>
      </c>
      <c r="D22">
        <f>FossilMiddens!H23</f>
        <v>124.98333333333333</v>
      </c>
      <c r="E22">
        <v>546.00099999999998</v>
      </c>
      <c r="F22">
        <v>531.35500000000002</v>
      </c>
      <c r="G22">
        <v>14.645999999999958</v>
      </c>
    </row>
    <row r="23" spans="1:7">
      <c r="A23" t="str">
        <f>FossilMiddens!A24</f>
        <v>M07</v>
      </c>
      <c r="B23" t="s">
        <v>25</v>
      </c>
      <c r="C23">
        <f>FossilMiddens!I24</f>
        <v>-25.05</v>
      </c>
      <c r="D23">
        <f>FossilMiddens!H24</f>
        <v>124.98333333333333</v>
      </c>
      <c r="E23">
        <v>546.00099999999998</v>
      </c>
      <c r="F23">
        <v>531.35500000000002</v>
      </c>
      <c r="G23">
        <v>14.645999999999958</v>
      </c>
    </row>
    <row r="24" spans="1:7">
      <c r="A24" t="str">
        <f>FossilMiddens!A25</f>
        <v>M07</v>
      </c>
      <c r="B24" t="s">
        <v>26</v>
      </c>
      <c r="C24">
        <f>FossilMiddens!I25</f>
        <v>-25.05</v>
      </c>
      <c r="D24">
        <f>FossilMiddens!H25</f>
        <v>124.98333333333333</v>
      </c>
      <c r="E24">
        <v>546.00099999999998</v>
      </c>
      <c r="F24">
        <v>531.35500000000002</v>
      </c>
      <c r="G24">
        <v>14.645999999999958</v>
      </c>
    </row>
    <row r="25" spans="1:7">
      <c r="A25" t="str">
        <f>FossilMiddens!A26</f>
        <v>USA127</v>
      </c>
      <c r="B25" t="s">
        <v>27</v>
      </c>
      <c r="C25">
        <f>FossilMiddens!I26</f>
        <v>-25.83</v>
      </c>
      <c r="D25">
        <f>FossilMiddens!H26</f>
        <v>134.19833333333332</v>
      </c>
      <c r="E25">
        <v>310.40100000000001</v>
      </c>
      <c r="F25">
        <v>350.82100000000003</v>
      </c>
      <c r="G25">
        <v>-40.42</v>
      </c>
    </row>
    <row r="26" spans="1:7">
      <c r="A26" t="str">
        <f>FossilMiddens!A27</f>
        <v>USA131</v>
      </c>
      <c r="B26" t="s">
        <v>28</v>
      </c>
      <c r="C26">
        <f>FossilMiddens!I27</f>
        <v>-25.83</v>
      </c>
      <c r="D26">
        <f>FossilMiddens!H27</f>
        <v>134.19833333333332</v>
      </c>
      <c r="E26">
        <v>310.40100000000001</v>
      </c>
      <c r="F26">
        <v>350.82100000000003</v>
      </c>
      <c r="G26">
        <v>-40.42</v>
      </c>
    </row>
    <row r="27" spans="1:7">
      <c r="A27" t="str">
        <f>FossilMiddens!A28</f>
        <v>USA16</v>
      </c>
      <c r="B27" t="s">
        <v>29</v>
      </c>
      <c r="C27">
        <f>FossilMiddens!I28</f>
        <v>-25.83</v>
      </c>
      <c r="D27">
        <f>FossilMiddens!H28</f>
        <v>134.19833333333332</v>
      </c>
      <c r="E27">
        <v>310.40100000000001</v>
      </c>
      <c r="F27">
        <v>350.82100000000003</v>
      </c>
      <c r="G27">
        <v>-40.42</v>
      </c>
    </row>
    <row r="28" spans="1:7">
      <c r="A28" t="str">
        <f>FossilMiddens!A29</f>
        <v>USA22</v>
      </c>
      <c r="B28" t="s">
        <v>30</v>
      </c>
      <c r="C28">
        <f>FossilMiddens!I29</f>
        <v>-25.83</v>
      </c>
      <c r="D28">
        <f>FossilMiddens!H29</f>
        <v>134.19833333333332</v>
      </c>
      <c r="E28">
        <v>310.40100000000001</v>
      </c>
      <c r="F28">
        <v>350.82100000000003</v>
      </c>
      <c r="G28">
        <v>-40.42</v>
      </c>
    </row>
    <row r="29" spans="1:7">
      <c r="A29" t="str">
        <f>FossilMiddens!A30</f>
        <v>USB10</v>
      </c>
      <c r="B29" t="s">
        <v>31</v>
      </c>
      <c r="C29">
        <f>FossilMiddens!I30</f>
        <v>-25.83</v>
      </c>
      <c r="D29">
        <f>FossilMiddens!H30</f>
        <v>134.19833333333332</v>
      </c>
      <c r="E29">
        <v>310.40100000000001</v>
      </c>
      <c r="F29">
        <v>350.82100000000003</v>
      </c>
      <c r="G29">
        <v>-40.42</v>
      </c>
    </row>
    <row r="30" spans="1:7">
      <c r="A30" t="str">
        <f>FossilMiddens!A31</f>
        <v>USB10</v>
      </c>
      <c r="B30" t="s">
        <v>32</v>
      </c>
      <c r="C30">
        <f>FossilMiddens!I31</f>
        <v>-25.83</v>
      </c>
      <c r="D30">
        <f>FossilMiddens!H31</f>
        <v>134.19833333333332</v>
      </c>
      <c r="E30">
        <v>310.40100000000001</v>
      </c>
      <c r="F30">
        <v>350.82100000000003</v>
      </c>
      <c r="G30">
        <v>-40.42</v>
      </c>
    </row>
    <row r="31" spans="1:7">
      <c r="A31" t="str">
        <f>FossilMiddens!A32</f>
        <v>USB11</v>
      </c>
      <c r="B31" t="s">
        <v>33</v>
      </c>
      <c r="C31">
        <f>FossilMiddens!I32</f>
        <v>-25.83</v>
      </c>
      <c r="D31">
        <f>FossilMiddens!H32</f>
        <v>134.19833333333332</v>
      </c>
      <c r="E31">
        <v>310.40100000000001</v>
      </c>
      <c r="F31">
        <v>350.82100000000003</v>
      </c>
      <c r="G31">
        <v>-40.42</v>
      </c>
    </row>
    <row r="32" spans="1:7">
      <c r="A32" t="str">
        <f>FossilMiddens!A33</f>
        <v>USB13</v>
      </c>
      <c r="B32" t="s">
        <v>34</v>
      </c>
      <c r="C32">
        <f>FossilMiddens!I33</f>
        <v>-25.83</v>
      </c>
      <c r="D32">
        <f>FossilMiddens!H33</f>
        <v>134.19833333333332</v>
      </c>
      <c r="E32">
        <v>310.40100000000001</v>
      </c>
      <c r="F32">
        <v>350.82100000000003</v>
      </c>
      <c r="G32">
        <v>-40.42</v>
      </c>
    </row>
    <row r="33" spans="1:7">
      <c r="A33" t="str">
        <f>FossilMiddens!A34</f>
        <v>USC191</v>
      </c>
      <c r="B33" t="s">
        <v>35</v>
      </c>
      <c r="C33">
        <f>FossilMiddens!I34</f>
        <v>-25.83</v>
      </c>
      <c r="D33">
        <f>FossilMiddens!H34</f>
        <v>134.19833333333332</v>
      </c>
      <c r="E33">
        <v>310.40100000000001</v>
      </c>
      <c r="F33">
        <v>350.82100000000003</v>
      </c>
      <c r="G33">
        <v>-40.42</v>
      </c>
    </row>
    <row r="34" spans="1:7">
      <c r="A34" t="str">
        <f>FossilMiddens!A35</f>
        <v>USC31</v>
      </c>
      <c r="B34" t="s">
        <v>36</v>
      </c>
      <c r="C34">
        <f>FossilMiddens!I35</f>
        <v>-25.83</v>
      </c>
      <c r="D34">
        <f>FossilMiddens!H35</f>
        <v>134.19833333333332</v>
      </c>
      <c r="E34">
        <v>310.40100000000001</v>
      </c>
      <c r="F34">
        <v>350.82100000000003</v>
      </c>
      <c r="G34">
        <v>-40.42</v>
      </c>
    </row>
    <row r="35" spans="1:7">
      <c r="A35" t="str">
        <f>FossilMiddens!A36</f>
        <v>USC39</v>
      </c>
      <c r="B35" t="s">
        <v>37</v>
      </c>
      <c r="C35">
        <f>FossilMiddens!I36</f>
        <v>-25.83</v>
      </c>
      <c r="D35">
        <f>FossilMiddens!H36</f>
        <v>134.19833333333332</v>
      </c>
      <c r="E35">
        <v>310.40100000000001</v>
      </c>
      <c r="F35">
        <v>350.82100000000003</v>
      </c>
      <c r="G35">
        <v>-40.42</v>
      </c>
    </row>
    <row r="36" spans="1:7">
      <c r="A36" t="str">
        <f>FossilMiddens!A37</f>
        <v>USC89</v>
      </c>
      <c r="B36" t="s">
        <v>38</v>
      </c>
      <c r="C36">
        <f>FossilMiddens!I37</f>
        <v>-25.83</v>
      </c>
      <c r="D36">
        <f>FossilMiddens!H37</f>
        <v>134.19833333333332</v>
      </c>
      <c r="E36">
        <v>310.40100000000001</v>
      </c>
      <c r="F36">
        <v>350.82100000000003</v>
      </c>
      <c r="G36">
        <v>-40.42</v>
      </c>
    </row>
    <row r="37" spans="1:7">
      <c r="A37" t="str">
        <f>FossilMiddens!A38</f>
        <v>USC99</v>
      </c>
      <c r="B37" t="s">
        <v>39</v>
      </c>
      <c r="C37">
        <f>FossilMiddens!I38</f>
        <v>-25.83</v>
      </c>
      <c r="D37">
        <f>FossilMiddens!H38</f>
        <v>134.19833333333332</v>
      </c>
      <c r="E37">
        <v>310.40100000000001</v>
      </c>
      <c r="F37">
        <v>350.82100000000003</v>
      </c>
      <c r="G37">
        <v>-40.42</v>
      </c>
    </row>
    <row r="38" spans="1:7">
      <c r="A38" t="str">
        <f>FossilMiddens!A39</f>
        <v>USE72</v>
      </c>
      <c r="B38" t="s">
        <v>40</v>
      </c>
      <c r="C38">
        <f>FossilMiddens!I39</f>
        <v>-25.83</v>
      </c>
      <c r="D38">
        <f>FossilMiddens!H39</f>
        <v>134.19833333333332</v>
      </c>
      <c r="E38">
        <v>310.40100000000001</v>
      </c>
      <c r="F38">
        <v>350.82100000000003</v>
      </c>
      <c r="G38">
        <v>-40.42</v>
      </c>
    </row>
    <row r="39" spans="1:7">
      <c r="A39" t="str">
        <f>FossilMiddens!A40</f>
        <v>USF06</v>
      </c>
      <c r="B39" t="s">
        <v>41</v>
      </c>
      <c r="C39">
        <f>FossilMiddens!I40</f>
        <v>-25.83</v>
      </c>
      <c r="D39">
        <f>FossilMiddens!H40</f>
        <v>134.19833333333332</v>
      </c>
      <c r="E39">
        <v>310.40100000000001</v>
      </c>
      <c r="F39">
        <v>350.82100000000003</v>
      </c>
      <c r="G39">
        <v>-40.42</v>
      </c>
    </row>
    <row r="40" spans="1:7">
      <c r="A40" t="str">
        <f>FossilMiddens!A41</f>
        <v>USG22</v>
      </c>
      <c r="B40" t="s">
        <v>42</v>
      </c>
      <c r="C40">
        <f>FossilMiddens!I41</f>
        <v>-25.83</v>
      </c>
      <c r="D40">
        <f>FossilMiddens!H41</f>
        <v>134.19833333333332</v>
      </c>
      <c r="E40">
        <v>310.40100000000001</v>
      </c>
      <c r="F40">
        <v>350.82100000000003</v>
      </c>
      <c r="G40">
        <v>-40.42</v>
      </c>
    </row>
    <row r="41" spans="1:7">
      <c r="A41" t="str">
        <f>FossilMiddens!A42</f>
        <v>USI76</v>
      </c>
      <c r="B41" t="s">
        <v>43</v>
      </c>
      <c r="C41">
        <f>FossilMiddens!I42</f>
        <v>-25.83</v>
      </c>
      <c r="D41">
        <f>FossilMiddens!H42</f>
        <v>134.19833333333332</v>
      </c>
      <c r="E41">
        <v>310.40100000000001</v>
      </c>
      <c r="F41">
        <v>350.82100000000003</v>
      </c>
      <c r="G41">
        <v>-40.42</v>
      </c>
    </row>
    <row r="42" spans="1:7">
      <c r="A42" t="str">
        <f>FossilMiddens!A43</f>
        <v>USJ7</v>
      </c>
      <c r="B42" t="s">
        <v>44</v>
      </c>
      <c r="C42">
        <f>FossilMiddens!I43</f>
        <v>-25.83</v>
      </c>
      <c r="D42">
        <f>FossilMiddens!H43</f>
        <v>134.19833333333332</v>
      </c>
      <c r="E42">
        <v>310.40100000000001</v>
      </c>
      <c r="F42">
        <v>350.82100000000003</v>
      </c>
      <c r="G42">
        <v>-40.42</v>
      </c>
    </row>
    <row r="43" spans="1:7">
      <c r="A43" t="str">
        <f>FossilMiddens!A44</f>
        <v>USK14</v>
      </c>
      <c r="B43" t="s">
        <v>45</v>
      </c>
      <c r="C43">
        <f>FossilMiddens!I44</f>
        <v>-25.83</v>
      </c>
      <c r="D43">
        <f>FossilMiddens!H44</f>
        <v>134.19833333333332</v>
      </c>
      <c r="E43">
        <v>310.40100000000001</v>
      </c>
      <c r="F43">
        <v>350.82100000000003</v>
      </c>
      <c r="G43">
        <v>-40.42</v>
      </c>
    </row>
    <row r="44" spans="1:7">
      <c r="A44" t="str">
        <f>FossilMiddens!A45</f>
        <v>USL7</v>
      </c>
      <c r="B44" t="s">
        <v>46</v>
      </c>
      <c r="C44">
        <f>FossilMiddens!I45</f>
        <v>-25.83</v>
      </c>
      <c r="D44">
        <f>FossilMiddens!H45</f>
        <v>134.19833333333332</v>
      </c>
      <c r="E44">
        <v>310.40100000000001</v>
      </c>
      <c r="F44">
        <v>350.82100000000003</v>
      </c>
      <c r="G44">
        <v>-40.42</v>
      </c>
    </row>
    <row r="45" spans="1:7">
      <c r="A45" t="str">
        <f>FossilMiddens!A46</f>
        <v>USM40</v>
      </c>
      <c r="B45" t="s">
        <v>47</v>
      </c>
      <c r="C45">
        <f>FossilMiddens!I46</f>
        <v>-25.83</v>
      </c>
      <c r="D45">
        <f>FossilMiddens!H46</f>
        <v>134.19833333333332</v>
      </c>
      <c r="E45">
        <v>310.40100000000001</v>
      </c>
      <c r="F45">
        <v>350.82100000000003</v>
      </c>
      <c r="G45">
        <v>-40.42</v>
      </c>
    </row>
    <row r="46" spans="1:7">
      <c r="A46" t="str">
        <f>FossilMiddens!A47</f>
        <v>USN104</v>
      </c>
      <c r="B46" t="s">
        <v>48</v>
      </c>
      <c r="C46">
        <f>FossilMiddens!I47</f>
        <v>-25.83</v>
      </c>
      <c r="D46">
        <f>FossilMiddens!H47</f>
        <v>134.19833333333332</v>
      </c>
      <c r="E46">
        <v>310.40100000000001</v>
      </c>
      <c r="F46">
        <v>350.82100000000003</v>
      </c>
      <c r="G46">
        <v>-40.42</v>
      </c>
    </row>
    <row r="47" spans="1:7">
      <c r="A47" t="str">
        <f>FossilMiddens!A48</f>
        <v>USN138</v>
      </c>
      <c r="B47" t="s">
        <v>49</v>
      </c>
      <c r="C47">
        <f>FossilMiddens!I48</f>
        <v>-25.83</v>
      </c>
      <c r="D47">
        <f>FossilMiddens!H48</f>
        <v>134.19833333333332</v>
      </c>
      <c r="E47">
        <v>310.40100000000001</v>
      </c>
      <c r="F47">
        <v>350.82100000000003</v>
      </c>
      <c r="G47">
        <v>-40.42</v>
      </c>
    </row>
    <row r="48" spans="1:7">
      <c r="A48" t="str">
        <f>FossilMiddens!A49</f>
        <v>USN160</v>
      </c>
      <c r="B48" t="s">
        <v>50</v>
      </c>
      <c r="C48">
        <f>FossilMiddens!I49</f>
        <v>-25.83</v>
      </c>
      <c r="D48">
        <f>FossilMiddens!H49</f>
        <v>134.19833333333332</v>
      </c>
      <c r="E48">
        <v>310.40100000000001</v>
      </c>
      <c r="F48">
        <v>350.82100000000003</v>
      </c>
      <c r="G48">
        <v>-40.42</v>
      </c>
    </row>
    <row r="49" spans="1:7">
      <c r="A49" t="str">
        <f>FossilMiddens!A50</f>
        <v>USN279</v>
      </c>
      <c r="B49" t="s">
        <v>51</v>
      </c>
      <c r="C49">
        <f>FossilMiddens!I50</f>
        <v>-25.83</v>
      </c>
      <c r="D49">
        <f>FossilMiddens!H50</f>
        <v>134.19833333333332</v>
      </c>
      <c r="E49">
        <v>310.40100000000001</v>
      </c>
      <c r="F49">
        <v>350.82100000000003</v>
      </c>
      <c r="G49">
        <v>-40.42</v>
      </c>
    </row>
    <row r="50" spans="1:7">
      <c r="A50" t="str">
        <f>FossilMiddens!A51</f>
        <v>USN363</v>
      </c>
      <c r="B50" t="s">
        <v>52</v>
      </c>
      <c r="C50">
        <f>FossilMiddens!I51</f>
        <v>-25.83</v>
      </c>
      <c r="D50">
        <f>FossilMiddens!H51</f>
        <v>134.19833333333332</v>
      </c>
      <c r="E50">
        <v>310.40100000000001</v>
      </c>
      <c r="F50">
        <v>350.82100000000003</v>
      </c>
      <c r="G50">
        <v>-40.42</v>
      </c>
    </row>
    <row r="51" spans="1:7">
      <c r="A51" t="str">
        <f>FossilMiddens!A52</f>
        <v>CAA04</v>
      </c>
      <c r="B51" t="s">
        <v>53</v>
      </c>
      <c r="C51">
        <f>FossilMiddens!I52</f>
        <v>-26.158333333333331</v>
      </c>
      <c r="D51">
        <f>FossilMiddens!H52</f>
        <v>127.91333333333334</v>
      </c>
      <c r="E51">
        <v>633.84100000000001</v>
      </c>
      <c r="F51">
        <v>533.84799999999996</v>
      </c>
      <c r="G51">
        <v>99.993000000000052</v>
      </c>
    </row>
    <row r="52" spans="1:7">
      <c r="A52" t="str">
        <f>FossilMiddens!A53</f>
        <v>GRD12</v>
      </c>
      <c r="B52" t="s">
        <v>54</v>
      </c>
      <c r="C52">
        <f>FossilMiddens!I53</f>
        <v>-26.953055555555554</v>
      </c>
      <c r="D52">
        <f>FossilMiddens!H53</f>
        <v>133.4986111111111</v>
      </c>
      <c r="E52">
        <v>359.589</v>
      </c>
      <c r="F52">
        <v>395.04</v>
      </c>
      <c r="G52">
        <v>-35.451000000000022</v>
      </c>
    </row>
    <row r="53" spans="1:7">
      <c r="A53" t="str">
        <f>FossilMiddens!A54</f>
        <v>CHA14</v>
      </c>
      <c r="B53" t="s">
        <v>55</v>
      </c>
      <c r="C53">
        <f>FossilMiddens!I54</f>
        <v>-27.885555555555555</v>
      </c>
      <c r="D53">
        <f>FossilMiddens!H54</f>
        <v>134.31722222222223</v>
      </c>
      <c r="E53">
        <v>298.96499999999997</v>
      </c>
      <c r="F53">
        <v>282.72399999999999</v>
      </c>
      <c r="G53">
        <v>16.240999999999985</v>
      </c>
    </row>
    <row r="54" spans="1:7">
      <c r="A54" t="str">
        <f>FossilMiddens!A55</f>
        <v>CHA42</v>
      </c>
      <c r="B54" t="s">
        <v>56</v>
      </c>
      <c r="C54">
        <f>FossilMiddens!I55</f>
        <v>-27.885555555555555</v>
      </c>
      <c r="D54">
        <f>FossilMiddens!H55</f>
        <v>134.31722222222223</v>
      </c>
      <c r="E54">
        <v>298.96499999999997</v>
      </c>
      <c r="F54">
        <v>282.72399999999999</v>
      </c>
      <c r="G54">
        <v>16.240999999999985</v>
      </c>
    </row>
    <row r="55" spans="1:7">
      <c r="A55" t="str">
        <f>FossilMiddens!A56</f>
        <v>CHB15</v>
      </c>
      <c r="B55" t="s">
        <v>57</v>
      </c>
      <c r="C55">
        <f>FossilMiddens!I56</f>
        <v>-27.885555555555555</v>
      </c>
      <c r="D55">
        <f>FossilMiddens!H56</f>
        <v>134.31722222222223</v>
      </c>
      <c r="E55">
        <v>298.96499999999997</v>
      </c>
      <c r="F55">
        <v>282.72399999999999</v>
      </c>
      <c r="G55">
        <v>16.240999999999985</v>
      </c>
    </row>
    <row r="56" spans="1:7">
      <c r="A56" t="str">
        <f>FossilMiddens!A57</f>
        <v>CHB41</v>
      </c>
      <c r="B56" t="s">
        <v>58</v>
      </c>
      <c r="C56">
        <f>FossilMiddens!I57</f>
        <v>-27.885555555555555</v>
      </c>
      <c r="D56">
        <f>FossilMiddens!H57</f>
        <v>134.31722222222223</v>
      </c>
      <c r="E56">
        <v>298.96499999999997</v>
      </c>
      <c r="F56">
        <v>282.72399999999999</v>
      </c>
      <c r="G56">
        <v>16.240999999999985</v>
      </c>
    </row>
    <row r="57" spans="1:7">
      <c r="A57" t="str">
        <f>FossilMiddens!A58</f>
        <v>CHC119</v>
      </c>
      <c r="B57" t="s">
        <v>59</v>
      </c>
      <c r="C57">
        <f>FossilMiddens!I58</f>
        <v>-27.885555555555555</v>
      </c>
      <c r="D57">
        <f>FossilMiddens!H58</f>
        <v>134.31722222222223</v>
      </c>
      <c r="E57">
        <v>298.96499999999997</v>
      </c>
      <c r="F57">
        <v>282.72399999999999</v>
      </c>
      <c r="G57">
        <v>16.240999999999985</v>
      </c>
    </row>
    <row r="58" spans="1:7">
      <c r="A58" t="str">
        <f>FossilMiddens!A59</f>
        <v>CHC22</v>
      </c>
      <c r="B58" t="s">
        <v>60</v>
      </c>
      <c r="C58">
        <f>FossilMiddens!I59</f>
        <v>-27.885555555555555</v>
      </c>
      <c r="D58">
        <f>FossilMiddens!H59</f>
        <v>134.31722222222223</v>
      </c>
      <c r="E58">
        <v>298.96499999999997</v>
      </c>
      <c r="F58">
        <v>282.72399999999999</v>
      </c>
      <c r="G58">
        <v>16.240999999999985</v>
      </c>
    </row>
    <row r="59" spans="1:7">
      <c r="A59" t="str">
        <f>FossilMiddens!A60</f>
        <v>CHC24</v>
      </c>
      <c r="B59" t="s">
        <v>61</v>
      </c>
      <c r="C59">
        <f>FossilMiddens!I60</f>
        <v>-27.885555555555555</v>
      </c>
      <c r="D59">
        <f>FossilMiddens!H60</f>
        <v>134.31722222222223</v>
      </c>
      <c r="E59">
        <v>298.96499999999997</v>
      </c>
      <c r="F59">
        <v>282.72399999999999</v>
      </c>
      <c r="G59">
        <v>16.240999999999985</v>
      </c>
    </row>
    <row r="60" spans="1:7">
      <c r="A60" t="str">
        <f>FossilMiddens!A61</f>
        <v>CHC42</v>
      </c>
      <c r="B60" t="s">
        <v>62</v>
      </c>
      <c r="C60">
        <f>FossilMiddens!I61</f>
        <v>-27.885555555555555</v>
      </c>
      <c r="D60">
        <f>FossilMiddens!H61</f>
        <v>134.31722222222223</v>
      </c>
      <c r="E60">
        <v>298.96499999999997</v>
      </c>
      <c r="F60">
        <v>282.72399999999999</v>
      </c>
      <c r="G60">
        <v>16.240999999999985</v>
      </c>
    </row>
    <row r="61" spans="1:7">
      <c r="A61" t="str">
        <f>FossilMiddens!A62</f>
        <v>CHD17</v>
      </c>
      <c r="B61" t="s">
        <v>63</v>
      </c>
      <c r="C61">
        <f>FossilMiddens!I62</f>
        <v>-27.885555555555555</v>
      </c>
      <c r="D61">
        <f>FossilMiddens!H62</f>
        <v>134.31722222222223</v>
      </c>
      <c r="E61">
        <v>298.96499999999997</v>
      </c>
      <c r="F61">
        <v>282.72399999999999</v>
      </c>
      <c r="G61">
        <v>16.240999999999985</v>
      </c>
    </row>
    <row r="62" spans="1:7">
      <c r="A62" t="str">
        <f>FossilMiddens!A63</f>
        <v>CHD18</v>
      </c>
      <c r="B62" t="s">
        <v>64</v>
      </c>
      <c r="C62">
        <f>FossilMiddens!I63</f>
        <v>-27.885555555555555</v>
      </c>
      <c r="D62">
        <f>FossilMiddens!H63</f>
        <v>134.31722222222223</v>
      </c>
      <c r="E62">
        <v>298.96499999999997</v>
      </c>
      <c r="F62">
        <v>282.72399999999999</v>
      </c>
      <c r="G62">
        <v>16.240999999999985</v>
      </c>
    </row>
    <row r="63" spans="1:7">
      <c r="A63" t="str">
        <f>FossilMiddens!A64</f>
        <v>PTA121A</v>
      </c>
      <c r="B63" t="s">
        <v>65</v>
      </c>
      <c r="C63">
        <f>FossilMiddens!I64</f>
        <v>-28.419722222222223</v>
      </c>
      <c r="D63">
        <f>FossilMiddens!H64</f>
        <v>122.97694444444444</v>
      </c>
      <c r="E63">
        <v>413.86399999999998</v>
      </c>
      <c r="F63">
        <v>522.12300000000005</v>
      </c>
      <c r="G63">
        <v>-108.25900000000007</v>
      </c>
    </row>
    <row r="64" spans="1:7">
      <c r="A64" t="str">
        <f>FossilMiddens!A65</f>
        <v>PTA234b</v>
      </c>
      <c r="B64" t="s">
        <v>66</v>
      </c>
      <c r="C64">
        <f>FossilMiddens!I65</f>
        <v>-28.419722222222223</v>
      </c>
      <c r="D64">
        <f>FossilMiddens!H65</f>
        <v>122.97694444444444</v>
      </c>
      <c r="E64">
        <v>413.86399999999998</v>
      </c>
      <c r="F64">
        <v>522.12300000000005</v>
      </c>
      <c r="G64">
        <v>-108.25900000000007</v>
      </c>
    </row>
    <row r="65" spans="1:7">
      <c r="A65" t="str">
        <f>FossilMiddens!A66</f>
        <v>HH1 base</v>
      </c>
      <c r="B65" t="s">
        <v>67</v>
      </c>
      <c r="C65">
        <f>FossilMiddens!I66</f>
        <v>-30.066666666666666</v>
      </c>
      <c r="D65">
        <f>FossilMiddens!H66</f>
        <v>142.56666666666666</v>
      </c>
      <c r="E65">
        <v>169.00299999999999</v>
      </c>
      <c r="F65">
        <v>85.627300000000005</v>
      </c>
      <c r="G65">
        <v>83.375699999999981</v>
      </c>
    </row>
    <row r="66" spans="1:7">
      <c r="A66" t="str">
        <f>FossilMiddens!A67</f>
        <v>ARK1</v>
      </c>
      <c r="B66" t="s">
        <v>68</v>
      </c>
      <c r="C66">
        <f>FossilMiddens!I67</f>
        <v>-30.066666666666666</v>
      </c>
      <c r="D66">
        <f>FossilMiddens!H67</f>
        <v>142.56666666666666</v>
      </c>
      <c r="E66">
        <v>169.00299999999999</v>
      </c>
      <c r="F66">
        <v>85.627300000000005</v>
      </c>
      <c r="G66">
        <v>83.375699999999981</v>
      </c>
    </row>
    <row r="67" spans="1:7">
      <c r="A67" t="str">
        <f>FossilMiddens!A68</f>
        <v>ARK1</v>
      </c>
      <c r="B67" t="s">
        <v>69</v>
      </c>
      <c r="C67">
        <f>FossilMiddens!I68</f>
        <v>-30.066666666666666</v>
      </c>
      <c r="D67">
        <f>FossilMiddens!H68</f>
        <v>142.56666666666666</v>
      </c>
      <c r="E67">
        <v>169.00299999999999</v>
      </c>
      <c r="F67">
        <v>85.627300000000005</v>
      </c>
      <c r="G67">
        <v>83.375699999999981</v>
      </c>
    </row>
    <row r="68" spans="1:7">
      <c r="A68" t="str">
        <f>FossilMiddens!A69</f>
        <v>HH1 top</v>
      </c>
      <c r="B68" t="s">
        <v>70</v>
      </c>
      <c r="C68">
        <f>FossilMiddens!I69</f>
        <v>-30.066666666666666</v>
      </c>
      <c r="D68">
        <f>FossilMiddens!H69</f>
        <v>142.56666666666666</v>
      </c>
      <c r="E68">
        <v>169.00299999999999</v>
      </c>
      <c r="F68">
        <v>85.627300000000005</v>
      </c>
      <c r="G68">
        <v>83.375699999999981</v>
      </c>
    </row>
    <row r="69" spans="1:7">
      <c r="A69" t="str">
        <f>FossilMiddens!A70</f>
        <v>NWCK 1</v>
      </c>
      <c r="B69" t="s">
        <v>71</v>
      </c>
      <c r="C69">
        <f>FossilMiddens!I70</f>
        <v>-30.066666666666666</v>
      </c>
      <c r="D69">
        <f>FossilMiddens!H70</f>
        <v>142.56666666666666</v>
      </c>
      <c r="E69">
        <v>169.00299999999999</v>
      </c>
      <c r="F69">
        <v>85.627300000000005</v>
      </c>
      <c r="G69">
        <v>83.375699999999981</v>
      </c>
    </row>
    <row r="70" spans="1:7">
      <c r="A70" t="str">
        <f>FossilMiddens!A71</f>
        <v>NWCK 2</v>
      </c>
      <c r="B70" t="s">
        <v>72</v>
      </c>
      <c r="C70">
        <f>FossilMiddens!I71</f>
        <v>-30.066666666666666</v>
      </c>
      <c r="D70">
        <f>FossilMiddens!H71</f>
        <v>142.56666666666666</v>
      </c>
      <c r="E70">
        <v>169.00299999999999</v>
      </c>
      <c r="F70">
        <v>85.627300000000005</v>
      </c>
      <c r="G70">
        <v>83.375699999999981</v>
      </c>
    </row>
    <row r="71" spans="1:7">
      <c r="A71" t="str">
        <f>FossilMiddens!A72</f>
        <v>OT1</v>
      </c>
      <c r="B71" t="s">
        <v>73</v>
      </c>
      <c r="C71">
        <f>FossilMiddens!I72</f>
        <v>-30.066666666666666</v>
      </c>
      <c r="D71">
        <f>FossilMiddens!H72</f>
        <v>142.56666666666666</v>
      </c>
      <c r="E71">
        <v>169.00299999999999</v>
      </c>
      <c r="F71">
        <v>85.627300000000005</v>
      </c>
      <c r="G71">
        <v>83.375699999999981</v>
      </c>
    </row>
    <row r="72" spans="1:7">
      <c r="A72" t="str">
        <f>FossilMiddens!A73</f>
        <v>OT1</v>
      </c>
      <c r="B72" t="s">
        <v>74</v>
      </c>
      <c r="C72">
        <f>FossilMiddens!I73</f>
        <v>-30.066666666666666</v>
      </c>
      <c r="D72">
        <f>FossilMiddens!H73</f>
        <v>142.56666666666666</v>
      </c>
      <c r="E72">
        <v>169.00299999999999</v>
      </c>
      <c r="F72">
        <v>85.627300000000005</v>
      </c>
      <c r="G72">
        <v>83.375699999999981</v>
      </c>
    </row>
    <row r="73" spans="1:7">
      <c r="A73" t="str">
        <f>FossilMiddens!A74</f>
        <v>RC 1</v>
      </c>
      <c r="B73" t="s">
        <v>75</v>
      </c>
      <c r="C73">
        <f>FossilMiddens!I74</f>
        <v>-30.066666666666666</v>
      </c>
      <c r="D73">
        <f>FossilMiddens!H74</f>
        <v>142.56666666666666</v>
      </c>
      <c r="E73">
        <v>169.00299999999999</v>
      </c>
      <c r="F73">
        <v>85.627300000000005</v>
      </c>
      <c r="G73">
        <v>83.375699999999981</v>
      </c>
    </row>
    <row r="74" spans="1:7">
      <c r="A74" t="str">
        <f>FossilMiddens!A75</f>
        <v>RC 2</v>
      </c>
      <c r="B74" t="s">
        <v>76</v>
      </c>
      <c r="C74">
        <f>FossilMiddens!I75</f>
        <v>-30.066666666666666</v>
      </c>
      <c r="D74">
        <f>FossilMiddens!H75</f>
        <v>142.56666666666666</v>
      </c>
      <c r="E74">
        <v>169.00299999999999</v>
      </c>
      <c r="F74">
        <v>85.627300000000005</v>
      </c>
      <c r="G74">
        <v>83.375699999999981</v>
      </c>
    </row>
    <row r="75" spans="1:7">
      <c r="A75" t="str">
        <f>FossilMiddens!A76</f>
        <v>RC3 base</v>
      </c>
      <c r="B75" t="s">
        <v>77</v>
      </c>
      <c r="C75">
        <f>FossilMiddens!I76</f>
        <v>-30.066666666666666</v>
      </c>
      <c r="D75">
        <f>FossilMiddens!H76</f>
        <v>142.56666666666666</v>
      </c>
      <c r="E75">
        <v>169.00299999999999</v>
      </c>
      <c r="F75">
        <v>85.627300000000005</v>
      </c>
      <c r="G75">
        <v>83.375699999999981</v>
      </c>
    </row>
    <row r="76" spans="1:7">
      <c r="A76" t="str">
        <f>FossilMiddens!A77</f>
        <v>WF</v>
      </c>
      <c r="B76" t="s">
        <v>78</v>
      </c>
      <c r="C76">
        <f>FossilMiddens!I77</f>
        <v>-30.066666666666666</v>
      </c>
      <c r="D76">
        <f>FossilMiddens!H77</f>
        <v>142.56666666666666</v>
      </c>
      <c r="E76">
        <v>169.00299999999999</v>
      </c>
      <c r="F76">
        <v>85.627300000000005</v>
      </c>
      <c r="G76">
        <v>83.375699999999981</v>
      </c>
    </row>
    <row r="77" spans="1:7">
      <c r="A77" t="str">
        <f>FossilMiddens!A78</f>
        <v>QVA312</v>
      </c>
      <c r="B77" t="s">
        <v>79</v>
      </c>
      <c r="C77">
        <f>FossilMiddens!I78</f>
        <v>-30.328888888888887</v>
      </c>
      <c r="D77">
        <f>FossilMiddens!H78</f>
        <v>123.26722222222222</v>
      </c>
      <c r="E77">
        <v>336.07299999999998</v>
      </c>
      <c r="F77">
        <v>379.86200000000002</v>
      </c>
      <c r="G77">
        <v>-43.789000000000044</v>
      </c>
    </row>
    <row r="78" spans="1:7">
      <c r="A78" t="str">
        <f>FossilMiddens!A79</f>
        <v>QVA464</v>
      </c>
      <c r="B78" t="s">
        <v>80</v>
      </c>
      <c r="C78">
        <f>FossilMiddens!I79</f>
        <v>-30.328888888888887</v>
      </c>
      <c r="D78">
        <f>FossilMiddens!H79</f>
        <v>123.26722222222222</v>
      </c>
      <c r="E78">
        <v>336.07299999999998</v>
      </c>
      <c r="F78">
        <v>379.86200000000002</v>
      </c>
      <c r="G78">
        <v>-43.789000000000044</v>
      </c>
    </row>
    <row r="79" spans="1:7">
      <c r="A79" t="str">
        <f>FossilMiddens!A80</f>
        <v>QVB107</v>
      </c>
      <c r="B79" t="s">
        <v>81</v>
      </c>
      <c r="C79">
        <f>FossilMiddens!I80</f>
        <v>-30.328888888888887</v>
      </c>
      <c r="D79">
        <f>FossilMiddens!H80</f>
        <v>123.26722222222222</v>
      </c>
      <c r="E79">
        <v>336.07299999999998</v>
      </c>
      <c r="F79">
        <v>379.86200000000002</v>
      </c>
      <c r="G79">
        <v>-43.789000000000044</v>
      </c>
    </row>
    <row r="80" spans="1:7">
      <c r="A80" t="str">
        <f>FossilMiddens!A81</f>
        <v>QVB37</v>
      </c>
      <c r="B80" t="s">
        <v>82</v>
      </c>
      <c r="C80">
        <f>FossilMiddens!I81</f>
        <v>-30.328888888888887</v>
      </c>
      <c r="D80">
        <f>FossilMiddens!H81</f>
        <v>123.26722222222222</v>
      </c>
      <c r="E80">
        <v>336.07299999999998</v>
      </c>
      <c r="F80">
        <v>379.86200000000002</v>
      </c>
      <c r="G80">
        <v>-43.789000000000044</v>
      </c>
    </row>
    <row r="81" spans="1:7">
      <c r="A81" t="str">
        <f>FossilMiddens!A82</f>
        <v>QVB37</v>
      </c>
      <c r="B81" t="s">
        <v>83</v>
      </c>
      <c r="C81">
        <f>FossilMiddens!I82</f>
        <v>-30.328888888888887</v>
      </c>
      <c r="D81">
        <f>FossilMiddens!H82</f>
        <v>123.26722222222222</v>
      </c>
      <c r="E81">
        <v>336.07299999999998</v>
      </c>
      <c r="F81">
        <v>379.86200000000002</v>
      </c>
      <c r="G81">
        <v>-43.789000000000044</v>
      </c>
    </row>
    <row r="82" spans="1:7">
      <c r="A82" t="str">
        <f>FossilMiddens!A83</f>
        <v>SAJQ/79i</v>
      </c>
      <c r="B82" t="s">
        <v>84</v>
      </c>
      <c r="C82">
        <f>FossilMiddens!I83</f>
        <v>-30.333333333333332</v>
      </c>
      <c r="D82">
        <f>FossilMiddens!H83</f>
        <v>139.33333333333334</v>
      </c>
      <c r="E82">
        <v>520.05600000000004</v>
      </c>
      <c r="F82">
        <v>426.58499999999998</v>
      </c>
      <c r="G82">
        <v>93.47100000000006</v>
      </c>
    </row>
    <row r="83" spans="1:7">
      <c r="A83" t="str">
        <f>FossilMiddens!A84</f>
        <v>SAJQ/79ii</v>
      </c>
      <c r="B83" t="s">
        <v>85</v>
      </c>
      <c r="C83">
        <f>FossilMiddens!I84</f>
        <v>-30.333333333333332</v>
      </c>
      <c r="D83">
        <f>FossilMiddens!H84</f>
        <v>139.33333333333334</v>
      </c>
      <c r="E83">
        <v>520.05600000000004</v>
      </c>
      <c r="F83">
        <v>426.58499999999998</v>
      </c>
      <c r="G83">
        <v>93.47100000000006</v>
      </c>
    </row>
    <row r="84" spans="1:7">
      <c r="A84" t="str">
        <f>FossilMiddens!A85</f>
        <v>SAJQ/79ii</v>
      </c>
      <c r="B84" t="s">
        <v>86</v>
      </c>
      <c r="C84">
        <f>FossilMiddens!I85</f>
        <v>-30.333333333333332</v>
      </c>
      <c r="D84">
        <f>FossilMiddens!H85</f>
        <v>139.33333333333334</v>
      </c>
      <c r="E84">
        <v>520.05600000000004</v>
      </c>
      <c r="F84">
        <v>426.58499999999998</v>
      </c>
      <c r="G84">
        <v>93.47100000000006</v>
      </c>
    </row>
    <row r="85" spans="1:7">
      <c r="A85" t="str">
        <f>FossilMiddens!A86</f>
        <v>SAJQ/85Li</v>
      </c>
      <c r="B85" t="s">
        <v>87</v>
      </c>
      <c r="C85">
        <f>FossilMiddens!I86</f>
        <v>-30.333333333333332</v>
      </c>
      <c r="D85">
        <f>FossilMiddens!H86</f>
        <v>139.33333333333334</v>
      </c>
      <c r="E85">
        <v>520.05600000000004</v>
      </c>
      <c r="F85">
        <v>426.58499999999998</v>
      </c>
      <c r="G85">
        <v>93.47100000000006</v>
      </c>
    </row>
    <row r="86" spans="1:7">
      <c r="A86" t="str">
        <f>FossilMiddens!A87</f>
        <v>SAJQ/85Lii</v>
      </c>
      <c r="B86" t="s">
        <v>88</v>
      </c>
      <c r="C86">
        <f>FossilMiddens!I87</f>
        <v>-30.333333333333332</v>
      </c>
      <c r="D86">
        <f>FossilMiddens!H87</f>
        <v>139.33333333333334</v>
      </c>
      <c r="E86">
        <v>520.05600000000004</v>
      </c>
      <c r="F86">
        <v>426.58499999999998</v>
      </c>
      <c r="G86">
        <v>93.47100000000006</v>
      </c>
    </row>
    <row r="87" spans="1:7">
      <c r="A87" t="str">
        <f>FossilMiddens!A88</f>
        <v>SAJQ/85Rii</v>
      </c>
      <c r="B87" t="s">
        <v>89</v>
      </c>
      <c r="C87">
        <f>FossilMiddens!I88</f>
        <v>-30.333333333333332</v>
      </c>
      <c r="D87">
        <f>FossilMiddens!H88</f>
        <v>139.33333333333334</v>
      </c>
      <c r="E87">
        <v>520.05600000000004</v>
      </c>
      <c r="F87">
        <v>426.58499999999998</v>
      </c>
      <c r="G87">
        <v>93.47100000000006</v>
      </c>
    </row>
    <row r="88" spans="1:7">
      <c r="A88" t="str">
        <f>FossilMiddens!A89</f>
        <v>SAJQ/85Rii</v>
      </c>
      <c r="B88" t="s">
        <v>90</v>
      </c>
      <c r="C88">
        <f>FossilMiddens!I89</f>
        <v>-30.333333333333332</v>
      </c>
      <c r="D88">
        <f>FossilMiddens!H89</f>
        <v>139.33333333333334</v>
      </c>
      <c r="E88">
        <v>520.05600000000004</v>
      </c>
      <c r="F88">
        <v>426.58499999999998</v>
      </c>
      <c r="G88">
        <v>93.47100000000006</v>
      </c>
    </row>
    <row r="89" spans="1:7">
      <c r="A89" t="str">
        <f>FossilMiddens!A90</f>
        <v>SAJQ76</v>
      </c>
      <c r="B89" t="s">
        <v>91</v>
      </c>
      <c r="C89">
        <f>FossilMiddens!I90</f>
        <v>-30.333333333333332</v>
      </c>
      <c r="D89">
        <f>FossilMiddens!H90</f>
        <v>139.33333333333334</v>
      </c>
      <c r="E89">
        <v>520.05600000000004</v>
      </c>
      <c r="F89">
        <v>426.58499999999998</v>
      </c>
      <c r="G89">
        <v>93.47100000000006</v>
      </c>
    </row>
    <row r="90" spans="1:7">
      <c r="A90" t="str">
        <f>FossilMiddens!A91</f>
        <v>SAJQ77</v>
      </c>
      <c r="B90" t="s">
        <v>92</v>
      </c>
      <c r="C90">
        <f>FossilMiddens!I91</f>
        <v>-30.333333333333332</v>
      </c>
      <c r="D90">
        <f>FossilMiddens!H91</f>
        <v>139.33333333333334</v>
      </c>
      <c r="E90">
        <v>520.05600000000004</v>
      </c>
      <c r="F90">
        <v>426.58499999999998</v>
      </c>
      <c r="G90">
        <v>93.47100000000006</v>
      </c>
    </row>
    <row r="91" spans="1:7">
      <c r="A91" t="str">
        <f>FossilMiddens!A92</f>
        <v>SAJQ78</v>
      </c>
      <c r="B91" t="s">
        <v>93</v>
      </c>
      <c r="C91">
        <f>FossilMiddens!I92</f>
        <v>-30.333333333333332</v>
      </c>
      <c r="D91">
        <f>FossilMiddens!H92</f>
        <v>139.33333333333334</v>
      </c>
      <c r="E91">
        <v>520.05600000000004</v>
      </c>
      <c r="F91">
        <v>426.58499999999998</v>
      </c>
      <c r="G91">
        <v>93.47100000000006</v>
      </c>
    </row>
    <row r="92" spans="1:7">
      <c r="A92" t="str">
        <f>FossilMiddens!A93</f>
        <v>SAJQ79</v>
      </c>
      <c r="B92" t="s">
        <v>94</v>
      </c>
      <c r="C92">
        <f>FossilMiddens!I93</f>
        <v>-30.333333333333332</v>
      </c>
      <c r="D92">
        <f>FossilMiddens!H93</f>
        <v>139.33333333333334</v>
      </c>
      <c r="E92">
        <v>520.05600000000004</v>
      </c>
      <c r="F92">
        <v>426.58499999999998</v>
      </c>
      <c r="G92">
        <v>93.47100000000006</v>
      </c>
    </row>
    <row r="93" spans="1:7">
      <c r="A93" t="str">
        <f>FossilMiddens!A94</f>
        <v>SAJQ91</v>
      </c>
      <c r="B93" t="s">
        <v>95</v>
      </c>
      <c r="C93">
        <f>FossilMiddens!I94</f>
        <v>-30.333333333333332</v>
      </c>
      <c r="D93">
        <f>FossilMiddens!H94</f>
        <v>139.33333333333334</v>
      </c>
      <c r="E93">
        <v>520.05600000000004</v>
      </c>
      <c r="F93">
        <v>426.58499999999998</v>
      </c>
      <c r="G93">
        <v>93.47100000000006</v>
      </c>
    </row>
    <row r="94" spans="1:7">
      <c r="A94" t="str">
        <f>FossilMiddens!A95</f>
        <v>SAJQ92</v>
      </c>
      <c r="B94" t="s">
        <v>96</v>
      </c>
      <c r="C94">
        <f>FossilMiddens!I95</f>
        <v>-30.333333333333332</v>
      </c>
      <c r="D94">
        <f>FossilMiddens!H95</f>
        <v>139.33333333333334</v>
      </c>
      <c r="E94">
        <v>520.05600000000004</v>
      </c>
      <c r="F94">
        <v>426.58499999999998</v>
      </c>
      <c r="G94">
        <v>93.47100000000006</v>
      </c>
    </row>
    <row r="95" spans="1:7">
      <c r="A95" t="str">
        <f>FossilMiddens!A96</f>
        <v>MO1</v>
      </c>
      <c r="B95" t="s">
        <v>97</v>
      </c>
      <c r="C95">
        <f>FossilMiddens!I96</f>
        <v>-30.5</v>
      </c>
      <c r="D95">
        <f>FossilMiddens!H96</f>
        <v>119.66666666666667</v>
      </c>
      <c r="E95">
        <v>625.00199999999995</v>
      </c>
      <c r="F95">
        <v>434.71300000000002</v>
      </c>
      <c r="G95">
        <v>190.28899999999993</v>
      </c>
    </row>
    <row r="96" spans="1:7">
      <c r="A96" t="str">
        <f>FossilMiddens!A97</f>
        <v>C7</v>
      </c>
      <c r="B96" t="s">
        <v>98</v>
      </c>
      <c r="C96">
        <f>FossilMiddens!I97</f>
        <v>-30.866666666666667</v>
      </c>
      <c r="D96">
        <f>FossilMiddens!H97</f>
        <v>142.6</v>
      </c>
      <c r="E96">
        <v>296.00799999999998</v>
      </c>
      <c r="F96">
        <v>356.63400000000001</v>
      </c>
      <c r="G96">
        <v>-60.626000000000033</v>
      </c>
    </row>
    <row r="97" spans="1:7">
      <c r="A97" t="str">
        <f>FossilMiddens!A98</f>
        <v>C8 (front left)</v>
      </c>
      <c r="B97" t="s">
        <v>99</v>
      </c>
      <c r="C97">
        <f>FossilMiddens!I98</f>
        <v>-30.866666666666667</v>
      </c>
      <c r="D97">
        <f>FossilMiddens!H98</f>
        <v>142.6</v>
      </c>
      <c r="E97">
        <v>296.00799999999998</v>
      </c>
      <c r="F97">
        <v>356.63400000000001</v>
      </c>
      <c r="G97">
        <v>-60.626000000000033</v>
      </c>
    </row>
    <row r="98" spans="1:7">
      <c r="A98" t="str">
        <f>FossilMiddens!A99</f>
        <v>CG1</v>
      </c>
      <c r="B98" t="s">
        <v>100</v>
      </c>
      <c r="C98">
        <f>FossilMiddens!I99</f>
        <v>-30.966666666666665</v>
      </c>
      <c r="D98">
        <f>FossilMiddens!H99</f>
        <v>139.33333333333334</v>
      </c>
      <c r="E98">
        <v>131.03899999999999</v>
      </c>
      <c r="F98">
        <v>64.294200000000004</v>
      </c>
      <c r="G98">
        <v>66.744799999999984</v>
      </c>
    </row>
    <row r="99" spans="1:7">
      <c r="A99" t="str">
        <f>FossilMiddens!A100</f>
        <v>MC1 (centre)</v>
      </c>
      <c r="B99" t="s">
        <v>101</v>
      </c>
      <c r="C99">
        <f>FossilMiddens!I100</f>
        <v>-30.966666666666665</v>
      </c>
      <c r="D99">
        <f>FossilMiddens!H100</f>
        <v>139.33333333333334</v>
      </c>
      <c r="E99">
        <v>131.03899999999999</v>
      </c>
      <c r="F99">
        <v>64.294200000000004</v>
      </c>
      <c r="G99">
        <v>66.744799999999984</v>
      </c>
    </row>
    <row r="100" spans="1:7">
      <c r="A100" t="str">
        <f>FossilMiddens!A101</f>
        <v>MC1 (exposed base)</v>
      </c>
      <c r="B100" t="s">
        <v>102</v>
      </c>
      <c r="C100">
        <f>FossilMiddens!I101</f>
        <v>-30.966666666666665</v>
      </c>
      <c r="D100">
        <f>FossilMiddens!H101</f>
        <v>139.33333333333334</v>
      </c>
      <c r="E100">
        <v>131.03899999999999</v>
      </c>
      <c r="F100">
        <v>64.294200000000004</v>
      </c>
      <c r="G100">
        <v>66.744799999999984</v>
      </c>
    </row>
    <row r="101" spans="1:7">
      <c r="A101" t="str">
        <f>FossilMiddens!A102</f>
        <v>MC2 (overhang)</v>
      </c>
      <c r="B101" t="s">
        <v>103</v>
      </c>
      <c r="C101">
        <f>FossilMiddens!I102</f>
        <v>-30.966666666666665</v>
      </c>
      <c r="D101">
        <f>FossilMiddens!H102</f>
        <v>139.33333333333334</v>
      </c>
      <c r="E101">
        <v>131.03899999999999</v>
      </c>
      <c r="F101">
        <v>64.294200000000004</v>
      </c>
      <c r="G101">
        <v>66.744799999999984</v>
      </c>
    </row>
    <row r="102" spans="1:7">
      <c r="A102" t="str">
        <f>FossilMiddens!A103</f>
        <v>MC2 (top)</v>
      </c>
      <c r="B102" t="s">
        <v>104</v>
      </c>
      <c r="C102">
        <f>FossilMiddens!I103</f>
        <v>-30.966666666666665</v>
      </c>
      <c r="D102">
        <f>FossilMiddens!H103</f>
        <v>139.33333333333334</v>
      </c>
      <c r="E102">
        <v>131.03899999999999</v>
      </c>
      <c r="F102">
        <v>64.294200000000004</v>
      </c>
      <c r="G102">
        <v>66.744799999999984</v>
      </c>
    </row>
    <row r="103" spans="1:7">
      <c r="A103" t="str">
        <f>FossilMiddens!A104</f>
        <v>MC2 (top)</v>
      </c>
      <c r="B103" t="s">
        <v>105</v>
      </c>
      <c r="C103">
        <f>FossilMiddens!I104</f>
        <v>-30.966666666666665</v>
      </c>
      <c r="D103">
        <f>FossilMiddens!H104</f>
        <v>139.33333333333334</v>
      </c>
      <c r="E103">
        <v>131.03899999999999</v>
      </c>
      <c r="F103">
        <v>64.294200000000004</v>
      </c>
      <c r="G103">
        <v>66.744799999999984</v>
      </c>
    </row>
    <row r="104" spans="1:7">
      <c r="A104" t="str">
        <f>FossilMiddens!A105</f>
        <v>MD3</v>
      </c>
      <c r="B104" t="s">
        <v>106</v>
      </c>
      <c r="C104">
        <f>FossilMiddens!I105</f>
        <v>-30.966666666666665</v>
      </c>
      <c r="D104">
        <f>FossilMiddens!H105</f>
        <v>139.33333333333334</v>
      </c>
      <c r="E104">
        <v>131.03899999999999</v>
      </c>
      <c r="F104">
        <v>64.294200000000004</v>
      </c>
      <c r="G104">
        <v>66.744799999999984</v>
      </c>
    </row>
    <row r="105" spans="1:7">
      <c r="A105" t="str">
        <f>FossilMiddens!A106</f>
        <v>SAJQ85L</v>
      </c>
      <c r="B105" t="s">
        <v>107</v>
      </c>
      <c r="C105">
        <f>FossilMiddens!I106</f>
        <v>-30.966666666666665</v>
      </c>
      <c r="D105">
        <f>FossilMiddens!H106</f>
        <v>139.33333333333334</v>
      </c>
      <c r="E105">
        <v>131.03899999999999</v>
      </c>
      <c r="F105">
        <v>64.294200000000004</v>
      </c>
      <c r="G105">
        <v>66.744799999999984</v>
      </c>
    </row>
    <row r="106" spans="1:7">
      <c r="A106" t="str">
        <f>FossilMiddens!A107</f>
        <v>SAJQ85L</v>
      </c>
      <c r="B106" t="s">
        <v>108</v>
      </c>
      <c r="C106">
        <f>FossilMiddens!I107</f>
        <v>-30.966666666666665</v>
      </c>
      <c r="D106">
        <f>FossilMiddens!H107</f>
        <v>139.33333333333334</v>
      </c>
      <c r="E106">
        <v>131.03899999999999</v>
      </c>
      <c r="F106">
        <v>64.294200000000004</v>
      </c>
      <c r="G106">
        <v>66.744799999999984</v>
      </c>
    </row>
    <row r="107" spans="1:7">
      <c r="A107" t="str">
        <f>FossilMiddens!A108</f>
        <v>SAJQ85R</v>
      </c>
      <c r="B107" t="s">
        <v>109</v>
      </c>
      <c r="C107">
        <f>FossilMiddens!I108</f>
        <v>-30.966666666666665</v>
      </c>
      <c r="D107">
        <f>FossilMiddens!H108</f>
        <v>139.33333333333334</v>
      </c>
      <c r="E107">
        <v>131.03899999999999</v>
      </c>
      <c r="F107">
        <v>64.294200000000004</v>
      </c>
      <c r="G107">
        <v>66.744799999999984</v>
      </c>
    </row>
    <row r="108" spans="1:7">
      <c r="A108" t="str">
        <f>FossilMiddens!A109</f>
        <v>SAJQ85R(base)</v>
      </c>
      <c r="B108" t="s">
        <v>110</v>
      </c>
      <c r="C108">
        <f>FossilMiddens!I109</f>
        <v>-30.966666666666665</v>
      </c>
      <c r="D108">
        <f>FossilMiddens!H109</f>
        <v>139.33333333333334</v>
      </c>
      <c r="E108">
        <v>131.03899999999999</v>
      </c>
      <c r="F108">
        <v>64.294200000000004</v>
      </c>
      <c r="G108">
        <v>66.744799999999984</v>
      </c>
    </row>
    <row r="109" spans="1:7">
      <c r="A109" t="str">
        <f>FossilMiddens!A110</f>
        <v>SAJQ85R(base)</v>
      </c>
      <c r="B109" t="s">
        <v>111</v>
      </c>
      <c r="C109">
        <f>FossilMiddens!I110</f>
        <v>-30.966666666666665</v>
      </c>
      <c r="D109">
        <f>FossilMiddens!H110</f>
        <v>139.33333333333334</v>
      </c>
      <c r="E109">
        <v>131.03899999999999</v>
      </c>
      <c r="F109">
        <v>64.294200000000004</v>
      </c>
      <c r="G109">
        <v>66.744799999999984</v>
      </c>
    </row>
    <row r="110" spans="1:7">
      <c r="A110" t="str">
        <f>FossilMiddens!A111</f>
        <v>SAJQ89</v>
      </c>
      <c r="B110" t="s">
        <v>112</v>
      </c>
      <c r="C110">
        <f>FossilMiddens!I111</f>
        <v>-30.966666666666665</v>
      </c>
      <c r="D110">
        <f>FossilMiddens!H111</f>
        <v>139.33333333333334</v>
      </c>
      <c r="E110">
        <v>131.03899999999999</v>
      </c>
      <c r="F110">
        <v>64.294200000000004</v>
      </c>
      <c r="G110">
        <v>66.744799999999984</v>
      </c>
    </row>
    <row r="111" spans="1:7">
      <c r="A111" t="str">
        <f>FossilMiddens!A112</f>
        <v>GH4 (top)</v>
      </c>
      <c r="B111" t="s">
        <v>113</v>
      </c>
      <c r="C111">
        <f>FossilMiddens!I112</f>
        <v>-31.066666666666666</v>
      </c>
      <c r="D111">
        <f>FossilMiddens!H112</f>
        <v>142.56666666666666</v>
      </c>
      <c r="E111">
        <v>353.00700000000001</v>
      </c>
      <c r="F111">
        <v>307.99799999999999</v>
      </c>
      <c r="G111">
        <v>45.009000000000015</v>
      </c>
    </row>
    <row r="112" spans="1:7">
      <c r="A112" t="str">
        <f>FossilMiddens!A113</f>
        <v>GAP RANGE E (GHE) LOWER RIGHT</v>
      </c>
      <c r="B112" t="s">
        <v>114</v>
      </c>
      <c r="C112">
        <f>FossilMiddens!I113</f>
        <v>-31.066666666666666</v>
      </c>
      <c r="D112">
        <f>FossilMiddens!H113</f>
        <v>142.56666666666666</v>
      </c>
      <c r="E112">
        <v>353.00700000000001</v>
      </c>
      <c r="F112">
        <v>307.99799999999999</v>
      </c>
      <c r="G112">
        <v>45.009000000000015</v>
      </c>
    </row>
    <row r="113" spans="1:7">
      <c r="A113" t="str">
        <f>FossilMiddens!A114</f>
        <v>GH E1</v>
      </c>
      <c r="B113" t="s">
        <v>115</v>
      </c>
      <c r="C113">
        <f>FossilMiddens!I114</f>
        <v>-31.066666666666666</v>
      </c>
      <c r="D113">
        <f>FossilMiddens!H114</f>
        <v>142.56666666666666</v>
      </c>
      <c r="E113">
        <v>353.00700000000001</v>
      </c>
      <c r="F113">
        <v>307.99799999999999</v>
      </c>
      <c r="G113">
        <v>45.009000000000015</v>
      </c>
    </row>
    <row r="114" spans="1:7">
      <c r="A114" t="str">
        <f>FossilMiddens!A115</f>
        <v>GH E2</v>
      </c>
      <c r="B114" t="s">
        <v>116</v>
      </c>
      <c r="C114">
        <f>FossilMiddens!I115</f>
        <v>-31.066666666666666</v>
      </c>
      <c r="D114">
        <f>FossilMiddens!H115</f>
        <v>142.56666666666666</v>
      </c>
      <c r="E114">
        <v>353.00700000000001</v>
      </c>
      <c r="F114">
        <v>307.99799999999999</v>
      </c>
      <c r="G114">
        <v>45.009000000000015</v>
      </c>
    </row>
    <row r="115" spans="1:7">
      <c r="A115" t="str">
        <f>FossilMiddens!A116</f>
        <v>GH E3 (I)</v>
      </c>
      <c r="B115" t="s">
        <v>117</v>
      </c>
      <c r="C115">
        <f>FossilMiddens!I116</f>
        <v>-31.066666666666666</v>
      </c>
      <c r="D115">
        <f>FossilMiddens!H116</f>
        <v>142.56666666666666</v>
      </c>
      <c r="E115">
        <v>353.00700000000001</v>
      </c>
      <c r="F115">
        <v>307.99799999999999</v>
      </c>
      <c r="G115">
        <v>45.009000000000015</v>
      </c>
    </row>
    <row r="116" spans="1:7">
      <c r="A116" t="str">
        <f>FossilMiddens!A117</f>
        <v>GH E3 (II)</v>
      </c>
      <c r="B116" t="s">
        <v>118</v>
      </c>
      <c r="C116">
        <f>FossilMiddens!I117</f>
        <v>-31.066666666666666</v>
      </c>
      <c r="D116">
        <f>FossilMiddens!H117</f>
        <v>142.56666666666666</v>
      </c>
      <c r="E116">
        <v>353.00700000000001</v>
      </c>
      <c r="F116">
        <v>307.99799999999999</v>
      </c>
      <c r="G116">
        <v>45.009000000000015</v>
      </c>
    </row>
    <row r="117" spans="1:7">
      <c r="A117" t="str">
        <f>FossilMiddens!A118</f>
        <v>GH E3 (III)</v>
      </c>
      <c r="B117" t="s">
        <v>119</v>
      </c>
      <c r="C117">
        <f>FossilMiddens!I118</f>
        <v>-31.066666666666666</v>
      </c>
      <c r="D117">
        <f>FossilMiddens!H118</f>
        <v>142.56666666666666</v>
      </c>
      <c r="E117">
        <v>353.00700000000001</v>
      </c>
      <c r="F117">
        <v>307.99799999999999</v>
      </c>
      <c r="G117">
        <v>45.009000000000015</v>
      </c>
    </row>
    <row r="118" spans="1:7">
      <c r="A118" t="str">
        <f>FossilMiddens!A119</f>
        <v>GH E4</v>
      </c>
      <c r="B118" t="s">
        <v>120</v>
      </c>
      <c r="C118">
        <f>FossilMiddens!I119</f>
        <v>-31.066666666666666</v>
      </c>
      <c r="D118">
        <f>FossilMiddens!H119</f>
        <v>142.56666666666666</v>
      </c>
      <c r="E118">
        <v>353.00700000000001</v>
      </c>
      <c r="F118">
        <v>307.99799999999999</v>
      </c>
      <c r="G118">
        <v>45.009000000000015</v>
      </c>
    </row>
    <row r="119" spans="1:7">
      <c r="A119" t="str">
        <f>FossilMiddens!A120</f>
        <v>GH E5 (I)</v>
      </c>
      <c r="B119" t="s">
        <v>121</v>
      </c>
      <c r="C119">
        <f>FossilMiddens!I120</f>
        <v>-31.066666666666666</v>
      </c>
      <c r="D119">
        <f>FossilMiddens!H120</f>
        <v>142.56666666666666</v>
      </c>
      <c r="E119">
        <v>353.00700000000001</v>
      </c>
      <c r="F119">
        <v>307.99799999999999</v>
      </c>
      <c r="G119">
        <v>45.009000000000015</v>
      </c>
    </row>
    <row r="120" spans="1:7">
      <c r="A120" t="str">
        <f>FossilMiddens!A121</f>
        <v>GH E5 (II) lower left</v>
      </c>
      <c r="B120" t="s">
        <v>122</v>
      </c>
      <c r="C120">
        <f>FossilMiddens!I121</f>
        <v>-31.066666666666666</v>
      </c>
      <c r="D120">
        <f>FossilMiddens!H121</f>
        <v>142.56666666666666</v>
      </c>
      <c r="E120">
        <v>353.00700000000001</v>
      </c>
      <c r="F120">
        <v>307.99799999999999</v>
      </c>
      <c r="G120">
        <v>45.009000000000015</v>
      </c>
    </row>
    <row r="121" spans="1:7">
      <c r="A121" t="str">
        <f>FossilMiddens!A122</f>
        <v>GH3 (I)</v>
      </c>
      <c r="B121" t="s">
        <v>123</v>
      </c>
      <c r="C121">
        <f>FossilMiddens!I122</f>
        <v>-31.066666666666666</v>
      </c>
      <c r="D121">
        <f>FossilMiddens!H122</f>
        <v>142.56666666666666</v>
      </c>
      <c r="E121">
        <v>353.00700000000001</v>
      </c>
      <c r="F121">
        <v>307.99799999999999</v>
      </c>
      <c r="G121">
        <v>45.009000000000015</v>
      </c>
    </row>
    <row r="122" spans="1:7">
      <c r="A122" t="str">
        <f>FossilMiddens!A123</f>
        <v>GH3 (ii)</v>
      </c>
      <c r="B122" t="s">
        <v>124</v>
      </c>
      <c r="C122">
        <f>FossilMiddens!I123</f>
        <v>-31.066666666666666</v>
      </c>
      <c r="D122">
        <f>FossilMiddens!H123</f>
        <v>142.56666666666666</v>
      </c>
      <c r="E122">
        <v>353.00700000000001</v>
      </c>
      <c r="F122">
        <v>307.99799999999999</v>
      </c>
      <c r="G122">
        <v>45.009000000000015</v>
      </c>
    </row>
    <row r="123" spans="1:7">
      <c r="A123" t="str">
        <f>FossilMiddens!A124</f>
        <v>GH6 (base)</v>
      </c>
      <c r="B123" t="s">
        <v>125</v>
      </c>
      <c r="C123">
        <f>FossilMiddens!I124</f>
        <v>-31.066666666666666</v>
      </c>
      <c r="D123">
        <f>FossilMiddens!H124</f>
        <v>142.56666666666666</v>
      </c>
      <c r="E123">
        <v>353.00700000000001</v>
      </c>
      <c r="F123">
        <v>307.99799999999999</v>
      </c>
      <c r="G123">
        <v>45.009000000000015</v>
      </c>
    </row>
    <row r="124" spans="1:7">
      <c r="A124" t="str">
        <f>FossilMiddens!A125</f>
        <v>GH6 (top)</v>
      </c>
      <c r="B124" t="s">
        <v>126</v>
      </c>
      <c r="C124">
        <f>FossilMiddens!I125</f>
        <v>-31.066666666666666</v>
      </c>
      <c r="D124">
        <f>FossilMiddens!H125</f>
        <v>142.56666666666666</v>
      </c>
      <c r="E124">
        <v>353.00700000000001</v>
      </c>
      <c r="F124">
        <v>307.99799999999999</v>
      </c>
      <c r="G124">
        <v>45.009000000000015</v>
      </c>
    </row>
    <row r="125" spans="1:7">
      <c r="A125" t="str">
        <f>FossilMiddens!A126</f>
        <v>GH2</v>
      </c>
      <c r="B125" t="s">
        <v>127</v>
      </c>
      <c r="C125">
        <f>FossilMiddens!I126</f>
        <v>-31.166666666666668</v>
      </c>
      <c r="D125">
        <f>FossilMiddens!H126</f>
        <v>142.6</v>
      </c>
      <c r="E125">
        <v>326.94499999999999</v>
      </c>
      <c r="F125">
        <v>234.84</v>
      </c>
      <c r="G125">
        <v>92.105000000000004</v>
      </c>
    </row>
    <row r="126" spans="1:7">
      <c r="A126" t="str">
        <f>FossilMiddens!A127</f>
        <v>GH5 (I)</v>
      </c>
      <c r="B126" t="s">
        <v>128</v>
      </c>
      <c r="C126">
        <f>FossilMiddens!I127</f>
        <v>-31.166666666666668</v>
      </c>
      <c r="D126">
        <f>FossilMiddens!H127</f>
        <v>142.6</v>
      </c>
      <c r="E126">
        <v>326.94499999999999</v>
      </c>
      <c r="F126">
        <v>234.84</v>
      </c>
      <c r="G126">
        <v>92.105000000000004</v>
      </c>
    </row>
    <row r="127" spans="1:7">
      <c r="A127" t="str">
        <f>FossilMiddens!A128</f>
        <v>GH8 (front)</v>
      </c>
      <c r="B127" t="s">
        <v>129</v>
      </c>
      <c r="C127">
        <f>FossilMiddens!I128</f>
        <v>-31.166666666666668</v>
      </c>
      <c r="D127">
        <f>FossilMiddens!H128</f>
        <v>142.6</v>
      </c>
      <c r="E127">
        <v>326.94499999999999</v>
      </c>
      <c r="F127">
        <v>234.84</v>
      </c>
      <c r="G127">
        <v>92.105000000000004</v>
      </c>
    </row>
    <row r="128" spans="1:7">
      <c r="A128" t="str">
        <f>FossilMiddens!A129</f>
        <v>RC3 top</v>
      </c>
      <c r="B128" t="s">
        <v>130</v>
      </c>
      <c r="C128">
        <f>FossilMiddens!I129</f>
        <v>-31.166666666666668</v>
      </c>
      <c r="D128">
        <f>FossilMiddens!H129</f>
        <v>142.6</v>
      </c>
      <c r="E128">
        <v>326.94499999999999</v>
      </c>
      <c r="F128">
        <v>234.84</v>
      </c>
      <c r="G128">
        <v>92.105000000000004</v>
      </c>
    </row>
    <row r="129" spans="1:7">
      <c r="A129" t="str">
        <f>FossilMiddens!A130</f>
        <v>Green et al (1983)</v>
      </c>
      <c r="B129" t="s">
        <v>131</v>
      </c>
      <c r="C129">
        <f>FossilMiddens!I130</f>
        <v>-31.166666666666668</v>
      </c>
      <c r="D129">
        <f>FossilMiddens!H130</f>
        <v>142.6</v>
      </c>
      <c r="E129">
        <v>326.94499999999999</v>
      </c>
      <c r="F129">
        <v>234.84</v>
      </c>
      <c r="G129">
        <v>92.105000000000004</v>
      </c>
    </row>
    <row r="130" spans="1:7">
      <c r="A130" t="str">
        <f>FossilMiddens!A131</f>
        <v>BR1 (base)</v>
      </c>
      <c r="B130" t="s">
        <v>132</v>
      </c>
      <c r="C130">
        <f>FossilMiddens!I131</f>
        <v>-31.35</v>
      </c>
      <c r="D130">
        <f>FossilMiddens!H131</f>
        <v>138.55000000000001</v>
      </c>
      <c r="E130">
        <v>474.09800000000001</v>
      </c>
      <c r="F130">
        <v>305.23700000000002</v>
      </c>
      <c r="G130">
        <v>168.86099999999999</v>
      </c>
    </row>
    <row r="131" spans="1:7">
      <c r="A131" t="str">
        <f>FossilMiddens!A132</f>
        <v>BR1 (top)</v>
      </c>
      <c r="B131" t="s">
        <v>133</v>
      </c>
      <c r="C131">
        <f>FossilMiddens!I132</f>
        <v>-31.35</v>
      </c>
      <c r="D131">
        <f>FossilMiddens!H132</f>
        <v>138.55000000000001</v>
      </c>
      <c r="E131">
        <v>474.09800000000001</v>
      </c>
      <c r="F131">
        <v>305.23700000000002</v>
      </c>
      <c r="G131">
        <v>168.86099999999999</v>
      </c>
    </row>
    <row r="132" spans="1:7">
      <c r="A132" t="str">
        <f>FossilMiddens!A133</f>
        <v>BR2 (middle)</v>
      </c>
      <c r="B132" t="s">
        <v>134</v>
      </c>
      <c r="C132">
        <f>FossilMiddens!I133</f>
        <v>-31.35</v>
      </c>
      <c r="D132">
        <f>FossilMiddens!H133</f>
        <v>138.55000000000001</v>
      </c>
      <c r="E132">
        <v>474.09800000000001</v>
      </c>
      <c r="F132">
        <v>305.23700000000002</v>
      </c>
      <c r="G132">
        <v>168.86099999999999</v>
      </c>
    </row>
    <row r="133" spans="1:7">
      <c r="A133" t="str">
        <f>FossilMiddens!A134</f>
        <v>BR3 (base)</v>
      </c>
      <c r="B133" t="s">
        <v>135</v>
      </c>
      <c r="C133">
        <f>FossilMiddens!I134</f>
        <v>-31.35</v>
      </c>
      <c r="D133">
        <f>FossilMiddens!H134</f>
        <v>138.55000000000001</v>
      </c>
      <c r="E133">
        <v>474.09800000000001</v>
      </c>
      <c r="F133">
        <v>305.23700000000002</v>
      </c>
      <c r="G133">
        <v>168.86099999999999</v>
      </c>
    </row>
    <row r="134" spans="1:7">
      <c r="A134" t="str">
        <f>FossilMiddens!A135</f>
        <v>BR3 (base)</v>
      </c>
      <c r="B134" t="s">
        <v>136</v>
      </c>
      <c r="C134">
        <f>FossilMiddens!I135</f>
        <v>-31.35</v>
      </c>
      <c r="D134">
        <f>FossilMiddens!H135</f>
        <v>138.55000000000001</v>
      </c>
      <c r="E134">
        <v>474.09800000000001</v>
      </c>
      <c r="F134">
        <v>305.23700000000002</v>
      </c>
      <c r="G134">
        <v>168.86099999999999</v>
      </c>
    </row>
    <row r="135" spans="1:7">
      <c r="A135" t="str">
        <f>FossilMiddens!A136</f>
        <v>BR3 (top)</v>
      </c>
      <c r="B135" t="s">
        <v>137</v>
      </c>
      <c r="C135">
        <f>FossilMiddens!I136</f>
        <v>-31.35</v>
      </c>
      <c r="D135">
        <f>FossilMiddens!H136</f>
        <v>138.55000000000001</v>
      </c>
      <c r="E135">
        <v>474.09800000000001</v>
      </c>
      <c r="F135">
        <v>305.23700000000002</v>
      </c>
      <c r="G135">
        <v>168.86099999999999</v>
      </c>
    </row>
    <row r="136" spans="1:7">
      <c r="A136" t="str">
        <f>FossilMiddens!A137</f>
        <v>BR3 (top)</v>
      </c>
      <c r="B136" t="s">
        <v>138</v>
      </c>
      <c r="C136">
        <f>FossilMiddens!I137</f>
        <v>-31.35</v>
      </c>
      <c r="D136">
        <f>FossilMiddens!H137</f>
        <v>138.55000000000001</v>
      </c>
      <c r="E136">
        <v>474.09800000000001</v>
      </c>
      <c r="F136">
        <v>305.23700000000002</v>
      </c>
      <c r="G136">
        <v>168.86099999999999</v>
      </c>
    </row>
    <row r="137" spans="1:7">
      <c r="A137" t="str">
        <f>FossilMiddens!A138</f>
        <v>BR4 (10cm)</v>
      </c>
      <c r="B137" t="s">
        <v>139</v>
      </c>
      <c r="C137">
        <f>FossilMiddens!I138</f>
        <v>-31.35</v>
      </c>
      <c r="D137">
        <f>FossilMiddens!H138</f>
        <v>138.55000000000001</v>
      </c>
      <c r="E137">
        <v>474.09800000000001</v>
      </c>
      <c r="F137">
        <v>305.23700000000002</v>
      </c>
      <c r="G137">
        <v>168.86099999999999</v>
      </c>
    </row>
    <row r="138" spans="1:7">
      <c r="A138" t="str">
        <f>FossilMiddens!A139</f>
        <v>BR4 (10cm)</v>
      </c>
      <c r="B138" t="s">
        <v>140</v>
      </c>
      <c r="C138">
        <f>FossilMiddens!I139</f>
        <v>-31.35</v>
      </c>
      <c r="D138">
        <f>FossilMiddens!H139</f>
        <v>138.55000000000001</v>
      </c>
      <c r="E138">
        <v>474.09800000000001</v>
      </c>
      <c r="F138">
        <v>305.23700000000002</v>
      </c>
      <c r="G138">
        <v>168.86099999999999</v>
      </c>
    </row>
    <row r="139" spans="1:7">
      <c r="A139" t="str">
        <f>FossilMiddens!A140</f>
        <v>BR4 (60cm)</v>
      </c>
      <c r="B139" t="s">
        <v>141</v>
      </c>
      <c r="C139">
        <f>FossilMiddens!I140</f>
        <v>-31.35</v>
      </c>
      <c r="D139">
        <f>FossilMiddens!H140</f>
        <v>138.55000000000001</v>
      </c>
      <c r="E139">
        <v>474.09800000000001</v>
      </c>
      <c r="F139">
        <v>305.23700000000002</v>
      </c>
      <c r="G139">
        <v>168.86099999999999</v>
      </c>
    </row>
    <row r="140" spans="1:7">
      <c r="A140" t="str">
        <f>FossilMiddens!A141</f>
        <v>BR4 (60cm)</v>
      </c>
      <c r="B140" t="s">
        <v>142</v>
      </c>
      <c r="C140">
        <f>FossilMiddens!I141</f>
        <v>-31.35</v>
      </c>
      <c r="D140">
        <f>FossilMiddens!H141</f>
        <v>138.55000000000001</v>
      </c>
      <c r="E140">
        <v>474.09800000000001</v>
      </c>
      <c r="F140">
        <v>305.23700000000002</v>
      </c>
      <c r="G140">
        <v>168.86099999999999</v>
      </c>
    </row>
    <row r="141" spans="1:7">
      <c r="A141" t="str">
        <f>FossilMiddens!A142</f>
        <v>BR7 (base)</v>
      </c>
      <c r="B141" t="s">
        <v>143</v>
      </c>
      <c r="C141">
        <f>FossilMiddens!I142</f>
        <v>-31.35</v>
      </c>
      <c r="D141">
        <f>FossilMiddens!H142</f>
        <v>138.55000000000001</v>
      </c>
      <c r="E141">
        <v>474.09800000000001</v>
      </c>
      <c r="F141">
        <v>305.23700000000002</v>
      </c>
      <c r="G141">
        <v>168.86099999999999</v>
      </c>
    </row>
    <row r="142" spans="1:7">
      <c r="A142" t="str">
        <f>FossilMiddens!A143</f>
        <v>BRACHINA 1 GORGE</v>
      </c>
      <c r="B142" t="s">
        <v>144</v>
      </c>
      <c r="C142">
        <f>FossilMiddens!I143</f>
        <v>-31.35</v>
      </c>
      <c r="D142">
        <f>FossilMiddens!H143</f>
        <v>138.55000000000001</v>
      </c>
      <c r="E142">
        <v>474.09800000000001</v>
      </c>
      <c r="F142">
        <v>305.23700000000002</v>
      </c>
      <c r="G142">
        <v>168.86099999999999</v>
      </c>
    </row>
    <row r="143" spans="1:7">
      <c r="A143" t="str">
        <f>FossilMiddens!A144</f>
        <v>BRACHINA 2</v>
      </c>
      <c r="B143" t="s">
        <v>145</v>
      </c>
      <c r="C143">
        <f>FossilMiddens!I144</f>
        <v>-31.35</v>
      </c>
      <c r="D143">
        <f>FossilMiddens!H144</f>
        <v>138.55000000000001</v>
      </c>
      <c r="E143">
        <v>474.09800000000001</v>
      </c>
      <c r="F143">
        <v>305.23700000000002</v>
      </c>
      <c r="G143">
        <v>168.86099999999999</v>
      </c>
    </row>
    <row r="144" spans="1:7">
      <c r="A144" t="str">
        <f>FossilMiddens!A145</f>
        <v>BR1 (base)</v>
      </c>
      <c r="B144" t="s">
        <v>146</v>
      </c>
      <c r="C144">
        <f>FossilMiddens!I145</f>
        <v>-31.35</v>
      </c>
      <c r="D144">
        <f>FossilMiddens!H145</f>
        <v>138.55000000000001</v>
      </c>
      <c r="E144">
        <v>474.09800000000001</v>
      </c>
      <c r="F144">
        <v>305.23700000000002</v>
      </c>
      <c r="G144">
        <v>168.86099999999999</v>
      </c>
    </row>
    <row r="145" spans="1:7">
      <c r="A145" t="str">
        <f>FossilMiddens!A146</f>
        <v>BR1 (top)</v>
      </c>
      <c r="B145" t="s">
        <v>147</v>
      </c>
      <c r="C145">
        <f>FossilMiddens!I146</f>
        <v>-31.35</v>
      </c>
      <c r="D145">
        <f>FossilMiddens!H146</f>
        <v>138.55000000000001</v>
      </c>
      <c r="E145">
        <v>474.09800000000001</v>
      </c>
      <c r="F145">
        <v>305.23700000000002</v>
      </c>
      <c r="G145">
        <v>168.86099999999999</v>
      </c>
    </row>
    <row r="146" spans="1:7">
      <c r="A146" t="str">
        <f>FossilMiddens!A147</f>
        <v>BR4 (10cm)</v>
      </c>
      <c r="B146" t="s">
        <v>148</v>
      </c>
      <c r="C146">
        <f>FossilMiddens!I147</f>
        <v>-31.35</v>
      </c>
      <c r="D146">
        <f>FossilMiddens!H147</f>
        <v>138.55000000000001</v>
      </c>
      <c r="E146">
        <v>474.09800000000001</v>
      </c>
      <c r="F146">
        <v>305.23700000000002</v>
      </c>
      <c r="G146">
        <v>168.86099999999999</v>
      </c>
    </row>
    <row r="147" spans="1:7">
      <c r="A147" t="str">
        <f>FossilMiddens!A148</f>
        <v>BR4 (20cm)</v>
      </c>
      <c r="B147" t="s">
        <v>149</v>
      </c>
      <c r="C147">
        <f>FossilMiddens!I148</f>
        <v>-31.35</v>
      </c>
      <c r="D147">
        <f>FossilMiddens!H148</f>
        <v>138.55000000000001</v>
      </c>
      <c r="E147">
        <v>474.09800000000001</v>
      </c>
      <c r="F147">
        <v>305.23700000000002</v>
      </c>
      <c r="G147">
        <v>168.86099999999999</v>
      </c>
    </row>
    <row r="148" spans="1:7">
      <c r="A148" t="str">
        <f>FossilMiddens!A149</f>
        <v>BR4 (30cm)</v>
      </c>
      <c r="B148" t="s">
        <v>150</v>
      </c>
      <c r="C148">
        <f>FossilMiddens!I149</f>
        <v>-31.35</v>
      </c>
      <c r="D148">
        <f>FossilMiddens!H149</f>
        <v>138.55000000000001</v>
      </c>
      <c r="E148">
        <v>474.09800000000001</v>
      </c>
      <c r="F148">
        <v>305.23700000000002</v>
      </c>
      <c r="G148">
        <v>168.86099999999999</v>
      </c>
    </row>
    <row r="149" spans="1:7">
      <c r="A149" t="str">
        <f>FossilMiddens!A150</f>
        <v>BR4 (40cm)</v>
      </c>
      <c r="B149" t="s">
        <v>151</v>
      </c>
      <c r="C149">
        <f>FossilMiddens!I150</f>
        <v>-31.35</v>
      </c>
      <c r="D149">
        <f>FossilMiddens!H150</f>
        <v>138.55000000000001</v>
      </c>
      <c r="E149">
        <v>474.09800000000001</v>
      </c>
      <c r="F149">
        <v>305.23700000000002</v>
      </c>
      <c r="G149">
        <v>168.86099999999999</v>
      </c>
    </row>
    <row r="150" spans="1:7">
      <c r="A150" t="str">
        <f>FossilMiddens!A151</f>
        <v>BR4 (50cm)</v>
      </c>
      <c r="B150" t="s">
        <v>152</v>
      </c>
      <c r="C150">
        <f>FossilMiddens!I151</f>
        <v>-31.35</v>
      </c>
      <c r="D150">
        <f>FossilMiddens!H151</f>
        <v>138.55000000000001</v>
      </c>
      <c r="E150">
        <v>474.09800000000001</v>
      </c>
      <c r="F150">
        <v>305.23700000000002</v>
      </c>
      <c r="G150">
        <v>168.86099999999999</v>
      </c>
    </row>
    <row r="151" spans="1:7">
      <c r="A151" t="str">
        <f>FossilMiddens!A152</f>
        <v>BR4 (60cm)</v>
      </c>
      <c r="B151" t="s">
        <v>153</v>
      </c>
      <c r="C151">
        <f>FossilMiddens!I152</f>
        <v>-31.35</v>
      </c>
      <c r="D151">
        <f>FossilMiddens!H152</f>
        <v>138.55000000000001</v>
      </c>
      <c r="E151">
        <v>474.09800000000001</v>
      </c>
      <c r="F151">
        <v>305.23700000000002</v>
      </c>
      <c r="G151">
        <v>168.86099999999999</v>
      </c>
    </row>
    <row r="152" spans="1:7">
      <c r="A152" t="str">
        <f>FossilMiddens!A153</f>
        <v>GH5 (II)</v>
      </c>
      <c r="B152" t="s">
        <v>154</v>
      </c>
      <c r="C152">
        <f>FossilMiddens!I153</f>
        <v>-31.166666666666668</v>
      </c>
      <c r="D152">
        <f>FossilMiddens!H153</f>
        <v>142.6</v>
      </c>
      <c r="E152">
        <v>326.94499999999999</v>
      </c>
      <c r="F152">
        <v>234.84</v>
      </c>
      <c r="G152">
        <v>92.105000000000004</v>
      </c>
    </row>
    <row r="153" spans="1:7">
      <c r="A153" t="str">
        <f>FossilMiddens!A154</f>
        <v>GH4 (base)</v>
      </c>
      <c r="B153" t="s">
        <v>155</v>
      </c>
      <c r="C153">
        <f>FossilMiddens!I154</f>
        <v>-31.166666666666668</v>
      </c>
      <c r="D153">
        <f>FossilMiddens!H154</f>
        <v>142.6</v>
      </c>
      <c r="E153">
        <v>326.94499999999999</v>
      </c>
      <c r="F153">
        <v>234.84</v>
      </c>
      <c r="G153">
        <v>92.105000000000004</v>
      </c>
    </row>
    <row r="154" spans="1:7">
      <c r="A154" t="str">
        <f>FossilMiddens!A155</f>
        <v>GH1 (top)</v>
      </c>
      <c r="B154" t="s">
        <v>156</v>
      </c>
      <c r="C154">
        <f>FossilMiddens!I155</f>
        <v>-31.166666666666668</v>
      </c>
      <c r="D154">
        <f>FossilMiddens!H155</f>
        <v>142.6</v>
      </c>
      <c r="E154">
        <v>326.94499999999999</v>
      </c>
      <c r="F154">
        <v>234.84</v>
      </c>
      <c r="G154">
        <v>92.105000000000004</v>
      </c>
    </row>
    <row r="155" spans="1:7">
      <c r="A155" t="str">
        <f>FossilMiddens!A156</f>
        <v>GH1 (base)</v>
      </c>
      <c r="B155" t="s">
        <v>157</v>
      </c>
      <c r="C155">
        <f>FossilMiddens!I156</f>
        <v>-31.166666666666668</v>
      </c>
      <c r="D155">
        <f>FossilMiddens!H156</f>
        <v>142.6</v>
      </c>
      <c r="E155">
        <v>326.94499999999999</v>
      </c>
      <c r="F155">
        <v>234.84</v>
      </c>
      <c r="G155">
        <v>92.105000000000004</v>
      </c>
    </row>
    <row r="156" spans="1:7">
      <c r="B156" t="s">
        <v>158</v>
      </c>
      <c r="C156">
        <v>-31.95</v>
      </c>
      <c r="D156">
        <v>149.267</v>
      </c>
      <c r="E156">
        <v>547.82899999999995</v>
      </c>
      <c r="F156">
        <v>0</v>
      </c>
      <c r="G156">
        <v>547.82899999999995</v>
      </c>
    </row>
    <row r="157" spans="1:7">
      <c r="A157" s="7" t="s">
        <v>159</v>
      </c>
      <c r="B157" s="7" t="s">
        <v>160</v>
      </c>
      <c r="C157" s="5">
        <v>-23.2666</v>
      </c>
      <c r="D157" s="5">
        <v>134.39998</v>
      </c>
      <c r="E157">
        <v>785.08299999999997</v>
      </c>
      <c r="F157">
        <v>676.11400000000003</v>
      </c>
      <c r="G157">
        <v>108.96899999999994</v>
      </c>
    </row>
    <row r="158" spans="1:7">
      <c r="A158" s="7" t="s">
        <v>159</v>
      </c>
      <c r="B158" s="7" t="s">
        <v>160</v>
      </c>
      <c r="C158" s="5">
        <v>-23.61664</v>
      </c>
      <c r="D158" s="5">
        <v>134.33331999999999</v>
      </c>
      <c r="E158">
        <v>561.03599999999994</v>
      </c>
      <c r="F158">
        <v>616.90300000000002</v>
      </c>
      <c r="G158">
        <v>-55.867000000000075</v>
      </c>
    </row>
    <row r="159" spans="1:7">
      <c r="A159" s="7" t="s">
        <v>159</v>
      </c>
      <c r="B159" s="7" t="s">
        <v>160</v>
      </c>
      <c r="C159" s="5">
        <v>-22</v>
      </c>
      <c r="D159" s="5">
        <v>137.251667</v>
      </c>
      <c r="E159">
        <v>251.804</v>
      </c>
      <c r="F159">
        <v>262.93799999999999</v>
      </c>
      <c r="G159">
        <v>-11.133999999999986</v>
      </c>
    </row>
    <row r="160" spans="1:7">
      <c r="A160" s="7" t="s">
        <v>159</v>
      </c>
      <c r="B160" s="7" t="s">
        <v>160</v>
      </c>
      <c r="C160" s="5">
        <v>-22.004444444444399</v>
      </c>
      <c r="D160" s="5">
        <v>137.32055600000001</v>
      </c>
      <c r="E160">
        <v>246.24100000000001</v>
      </c>
      <c r="F160">
        <v>259.07</v>
      </c>
      <c r="G160">
        <v>-12.828999999999979</v>
      </c>
    </row>
    <row r="161" spans="1:7" ht="25.5">
      <c r="A161" s="6">
        <v>12622</v>
      </c>
      <c r="B161" s="4" t="s">
        <v>161</v>
      </c>
      <c r="C161" s="2">
        <v>-25.066671958656542</v>
      </c>
      <c r="D161" s="2">
        <v>124.9999945289191</v>
      </c>
      <c r="E161">
        <v>548.99900000000002</v>
      </c>
      <c r="F161">
        <v>498.69499999999999</v>
      </c>
      <c r="G161">
        <v>50.30400000000003</v>
      </c>
    </row>
    <row r="162" spans="1:7" ht="25.5">
      <c r="A162" s="6">
        <v>12623</v>
      </c>
      <c r="B162" s="4" t="s">
        <v>161</v>
      </c>
      <c r="C162" s="2">
        <v>-25.183336997400581</v>
      </c>
      <c r="D162" s="2">
        <v>125.06665702887992</v>
      </c>
      <c r="E162">
        <v>557.01800000000003</v>
      </c>
      <c r="F162">
        <v>491.57600000000002</v>
      </c>
      <c r="G162">
        <v>65.442000000000007</v>
      </c>
    </row>
    <row r="163" spans="1:7" ht="25.5">
      <c r="A163" s="6">
        <v>12624</v>
      </c>
      <c r="B163" s="4" t="s">
        <v>161</v>
      </c>
      <c r="C163" s="2">
        <v>-25.550001401957275</v>
      </c>
      <c r="D163" s="2">
        <v>125.29721833570987</v>
      </c>
      <c r="E163">
        <v>521.673</v>
      </c>
      <c r="F163">
        <v>475.24099999999999</v>
      </c>
      <c r="G163">
        <v>46.432000000000016</v>
      </c>
    </row>
    <row r="164" spans="1:7" ht="25.5">
      <c r="A164" s="6">
        <v>12711</v>
      </c>
      <c r="B164" s="4" t="s">
        <v>161</v>
      </c>
      <c r="C164" s="2">
        <v>-31.016668112708739</v>
      </c>
      <c r="D164" s="2">
        <v>125.3333303540751</v>
      </c>
      <c r="E164">
        <v>182.98500000000001</v>
      </c>
      <c r="F164">
        <v>180.749</v>
      </c>
      <c r="G164">
        <v>2.2360000000000184</v>
      </c>
    </row>
    <row r="165" spans="1:7" ht="25.5">
      <c r="A165" s="6">
        <v>12628</v>
      </c>
      <c r="B165" s="4" t="s">
        <v>161</v>
      </c>
      <c r="C165" s="2">
        <v>-26.961112555242494</v>
      </c>
      <c r="D165" s="2">
        <v>125.41555376724865</v>
      </c>
      <c r="E165">
        <v>473.34300000000002</v>
      </c>
      <c r="F165">
        <v>450.38099999999997</v>
      </c>
      <c r="G165">
        <v>22.962000000000046</v>
      </c>
    </row>
    <row r="166" spans="1:7" ht="25.5">
      <c r="A166" s="6">
        <v>12598</v>
      </c>
      <c r="B166" s="4" t="s">
        <v>161</v>
      </c>
      <c r="C166" s="2">
        <v>-25.716670659143855</v>
      </c>
      <c r="D166" s="2">
        <v>125.49999846869389</v>
      </c>
      <c r="E166">
        <v>478.99599999999998</v>
      </c>
      <c r="F166">
        <v>425.75700000000001</v>
      </c>
      <c r="G166">
        <v>53.238999999999976</v>
      </c>
    </row>
    <row r="167" spans="1:7" ht="25.5">
      <c r="A167" s="6">
        <v>12625</v>
      </c>
      <c r="B167" s="4" t="s">
        <v>161</v>
      </c>
      <c r="C167" s="2">
        <v>-25.247227329824295</v>
      </c>
      <c r="D167" s="2">
        <v>125.54999282574879</v>
      </c>
      <c r="E167">
        <v>494.334</v>
      </c>
      <c r="F167">
        <v>403.16</v>
      </c>
      <c r="G167">
        <v>91.173999999999978</v>
      </c>
    </row>
    <row r="168" spans="1:7" ht="25.5">
      <c r="A168" s="6">
        <v>12593</v>
      </c>
      <c r="B168" s="4" t="s">
        <v>161</v>
      </c>
      <c r="C168" s="2">
        <v>-25.650005663212461</v>
      </c>
      <c r="D168" s="2">
        <v>125.54999364908331</v>
      </c>
      <c r="E168">
        <v>466.98399999999998</v>
      </c>
      <c r="F168">
        <v>449.51799999999997</v>
      </c>
      <c r="G168">
        <v>17.466000000000008</v>
      </c>
    </row>
    <row r="169" spans="1:7" ht="25.5">
      <c r="A169" s="6">
        <v>12673</v>
      </c>
      <c r="B169" s="4" t="s">
        <v>161</v>
      </c>
      <c r="C169" s="2">
        <v>-25.05000248417204</v>
      </c>
      <c r="D169" s="2">
        <v>125.58332539322357</v>
      </c>
      <c r="E169">
        <v>510.00900000000001</v>
      </c>
      <c r="F169">
        <v>482.952</v>
      </c>
      <c r="G169">
        <v>27.057000000000016</v>
      </c>
    </row>
    <row r="170" spans="1:7" ht="25.5">
      <c r="A170" s="6">
        <v>12649</v>
      </c>
      <c r="B170" s="4" t="s">
        <v>161</v>
      </c>
      <c r="C170" s="2">
        <v>-27.100003909878268</v>
      </c>
      <c r="D170" s="2">
        <v>125.61666569537789</v>
      </c>
      <c r="E170">
        <v>443.00900000000001</v>
      </c>
      <c r="F170">
        <v>394.404</v>
      </c>
      <c r="G170">
        <v>48.604999999999997</v>
      </c>
    </row>
    <row r="171" spans="1:7" ht="25.5">
      <c r="A171" s="6">
        <v>12651</v>
      </c>
      <c r="B171" s="4" t="s">
        <v>161</v>
      </c>
      <c r="C171" s="2">
        <v>-26.850007105790201</v>
      </c>
      <c r="D171" s="2">
        <v>125.6666570788952</v>
      </c>
      <c r="E171">
        <v>498.00200000000001</v>
      </c>
      <c r="F171">
        <v>477.75099999999998</v>
      </c>
      <c r="G171">
        <v>20.251000000000033</v>
      </c>
    </row>
    <row r="172" spans="1:7" ht="25.5">
      <c r="A172" s="6">
        <v>12629</v>
      </c>
      <c r="B172" s="4" t="s">
        <v>161</v>
      </c>
      <c r="C172" s="2">
        <v>-26.850007105790201</v>
      </c>
      <c r="D172" s="2">
        <v>125.6666570788952</v>
      </c>
      <c r="E172">
        <v>498.00200000000001</v>
      </c>
      <c r="F172">
        <v>477.75099999999998</v>
      </c>
      <c r="G172">
        <v>20.251000000000033</v>
      </c>
    </row>
    <row r="173" spans="1:7" ht="25.5">
      <c r="A173" s="6">
        <v>12595</v>
      </c>
      <c r="B173" s="4" t="s">
        <v>161</v>
      </c>
      <c r="C173" s="2">
        <v>-26.60000359388658</v>
      </c>
      <c r="D173" s="2">
        <v>125.86666517263507</v>
      </c>
      <c r="E173">
        <v>494.005</v>
      </c>
      <c r="F173">
        <v>458.52199999999999</v>
      </c>
      <c r="G173">
        <v>35.483000000000004</v>
      </c>
    </row>
    <row r="174" spans="1:7" ht="25.5">
      <c r="A174" s="6">
        <v>12626</v>
      </c>
      <c r="B174" s="4" t="s">
        <v>161</v>
      </c>
      <c r="C174" s="2">
        <v>-25.772228340572386</v>
      </c>
      <c r="D174" s="2">
        <v>125.93054814769393</v>
      </c>
      <c r="E174">
        <v>517.32500000000005</v>
      </c>
      <c r="F174">
        <v>487.94799999999998</v>
      </c>
      <c r="G174">
        <v>29.377000000000066</v>
      </c>
    </row>
    <row r="175" spans="1:7" ht="25.5">
      <c r="A175" s="6">
        <v>12681</v>
      </c>
      <c r="B175" s="4" t="s">
        <v>161</v>
      </c>
      <c r="C175" s="2">
        <v>-26.783336069980294</v>
      </c>
      <c r="D175" s="2">
        <v>125.94999782674233</v>
      </c>
      <c r="E175">
        <v>482.98200000000003</v>
      </c>
      <c r="F175">
        <v>403.483</v>
      </c>
      <c r="G175">
        <v>79.499000000000024</v>
      </c>
    </row>
    <row r="176" spans="1:7" ht="25.5">
      <c r="A176" s="6">
        <v>12704</v>
      </c>
      <c r="B176" s="4" t="s">
        <v>161</v>
      </c>
      <c r="C176" s="2">
        <v>-26.050008780811122</v>
      </c>
      <c r="D176" s="2">
        <v>125.96666280727479</v>
      </c>
      <c r="E176">
        <v>494.99400000000003</v>
      </c>
      <c r="F176">
        <v>484.529</v>
      </c>
      <c r="G176">
        <v>10.465</v>
      </c>
    </row>
    <row r="177" spans="1:7" ht="25.5">
      <c r="A177" s="3">
        <v>12596</v>
      </c>
      <c r="B177" s="4" t="s">
        <v>161</v>
      </c>
      <c r="C177" s="2">
        <v>-26.516670009519153</v>
      </c>
      <c r="D177" s="2">
        <v>126.01666007319861</v>
      </c>
      <c r="E177">
        <v>481.99900000000002</v>
      </c>
      <c r="F177">
        <v>460.30399999999997</v>
      </c>
      <c r="G177">
        <v>21.69500000000005</v>
      </c>
    </row>
    <row r="178" spans="1:7" ht="25.5">
      <c r="A178" s="3">
        <v>12631</v>
      </c>
      <c r="B178" s="4" t="s">
        <v>161</v>
      </c>
      <c r="C178" s="2">
        <v>-26.516670009519153</v>
      </c>
      <c r="D178" s="2">
        <v>126.01666007319861</v>
      </c>
      <c r="E178">
        <v>481.99900000000002</v>
      </c>
      <c r="F178">
        <v>460.30399999999997</v>
      </c>
      <c r="G178">
        <v>21.69500000000005</v>
      </c>
    </row>
    <row r="179" spans="1:7" ht="25.5">
      <c r="A179" s="3">
        <v>12650</v>
      </c>
      <c r="B179" s="4" t="s">
        <v>161</v>
      </c>
      <c r="C179" s="2">
        <v>-28.30000836453808</v>
      </c>
      <c r="D179" s="2">
        <v>126.08332714181746</v>
      </c>
      <c r="E179">
        <v>404.01900000000001</v>
      </c>
      <c r="F179">
        <v>359.64800000000002</v>
      </c>
      <c r="G179">
        <v>44.370999999999981</v>
      </c>
    </row>
    <row r="180" spans="1:7" ht="25.5">
      <c r="A180" s="3">
        <v>12627</v>
      </c>
      <c r="B180" s="4" t="s">
        <v>161</v>
      </c>
      <c r="C180" s="2">
        <v>-25.750004369324941</v>
      </c>
      <c r="D180" s="2">
        <v>126.19999008634227</v>
      </c>
      <c r="E180">
        <v>526.00900000000001</v>
      </c>
      <c r="F180">
        <v>499.83300000000003</v>
      </c>
      <c r="G180">
        <v>26.175999999999988</v>
      </c>
    </row>
    <row r="181" spans="1:7" ht="25.5">
      <c r="A181" s="3">
        <v>12632</v>
      </c>
      <c r="B181" s="4" t="s">
        <v>161</v>
      </c>
      <c r="C181" s="2">
        <v>-27.000001245503221</v>
      </c>
      <c r="D181" s="2">
        <v>126.29165677112783</v>
      </c>
      <c r="E181">
        <v>526.995</v>
      </c>
      <c r="F181">
        <v>481.55500000000001</v>
      </c>
      <c r="G181">
        <v>45.44</v>
      </c>
    </row>
    <row r="182" spans="1:7" ht="25.5">
      <c r="A182" s="3">
        <v>12635</v>
      </c>
      <c r="B182" s="4" t="s">
        <v>161</v>
      </c>
      <c r="C182" s="2">
        <v>-27.050003408329328</v>
      </c>
      <c r="D182" s="2">
        <v>126.36665913208772</v>
      </c>
      <c r="E182">
        <v>533.98699999999997</v>
      </c>
      <c r="F182">
        <v>492.28800000000001</v>
      </c>
      <c r="G182">
        <v>41.698999999999955</v>
      </c>
    </row>
    <row r="183" spans="1:7" ht="25.5">
      <c r="A183" s="3">
        <v>12597</v>
      </c>
      <c r="B183" s="4" t="s">
        <v>161</v>
      </c>
      <c r="C183" s="2">
        <v>-26.833334655980345</v>
      </c>
      <c r="D183" s="2">
        <v>126.3666631663169</v>
      </c>
      <c r="E183">
        <v>511.97800000000001</v>
      </c>
      <c r="F183">
        <v>465.22</v>
      </c>
      <c r="G183">
        <v>46.757999999999981</v>
      </c>
    </row>
    <row r="184" spans="1:7" ht="25.5">
      <c r="A184" s="3">
        <v>12633</v>
      </c>
      <c r="B184" s="4" t="s">
        <v>161</v>
      </c>
      <c r="C184" s="2">
        <v>-26.831950495181164</v>
      </c>
      <c r="D184" s="2">
        <v>126.38055490359483</v>
      </c>
      <c r="E184">
        <v>511.98</v>
      </c>
      <c r="F184">
        <v>481.04899999999998</v>
      </c>
      <c r="G184">
        <v>30.93100000000004</v>
      </c>
    </row>
    <row r="185" spans="1:7" ht="25.5">
      <c r="A185" s="3">
        <v>12648</v>
      </c>
      <c r="B185" s="4" t="s">
        <v>161</v>
      </c>
      <c r="C185" s="2">
        <v>-27.066667236916281</v>
      </c>
      <c r="D185" s="2">
        <v>126.41666396185445</v>
      </c>
      <c r="E185">
        <v>527.97799999999995</v>
      </c>
      <c r="F185">
        <v>484.48700000000002</v>
      </c>
      <c r="G185">
        <v>43.490999999999929</v>
      </c>
    </row>
    <row r="186" spans="1:7" ht="25.5">
      <c r="A186" s="3">
        <v>12647</v>
      </c>
      <c r="B186" s="4" t="s">
        <v>161</v>
      </c>
      <c r="C186" s="2">
        <v>-27.23333947293402</v>
      </c>
      <c r="D186" s="2">
        <v>126.43332604726986</v>
      </c>
      <c r="E186">
        <v>504.98599999999999</v>
      </c>
      <c r="F186">
        <v>455.029</v>
      </c>
      <c r="G186">
        <v>49.956999999999994</v>
      </c>
    </row>
    <row r="187" spans="1:7" ht="25.5">
      <c r="A187" s="3">
        <v>12636</v>
      </c>
      <c r="B187" s="4" t="s">
        <v>161</v>
      </c>
      <c r="C187" s="2">
        <v>-26.758333987917265</v>
      </c>
      <c r="D187" s="2">
        <v>126.44999352967021</v>
      </c>
      <c r="E187">
        <v>513.00699999999995</v>
      </c>
      <c r="F187">
        <v>494.26900000000001</v>
      </c>
      <c r="G187">
        <v>18.737999999999943</v>
      </c>
    </row>
    <row r="188" spans="1:7" ht="25.5">
      <c r="A188" s="3">
        <v>12637</v>
      </c>
      <c r="B188" s="4" t="s">
        <v>161</v>
      </c>
      <c r="C188" s="2">
        <v>-26.666673118023041</v>
      </c>
      <c r="D188" s="2">
        <v>126.46665954275694</v>
      </c>
      <c r="E188">
        <v>513.99099999999999</v>
      </c>
      <c r="F188">
        <v>478.048</v>
      </c>
      <c r="G188">
        <v>35.942999999999984</v>
      </c>
    </row>
    <row r="189" spans="1:7" ht="25.5">
      <c r="A189" s="3">
        <v>12634</v>
      </c>
      <c r="B189" s="4" t="s">
        <v>161</v>
      </c>
      <c r="C189" s="2">
        <v>-27.166672639859293</v>
      </c>
      <c r="D189" s="2">
        <v>126.48332694917048</v>
      </c>
      <c r="E189">
        <v>503.01499999999999</v>
      </c>
      <c r="F189">
        <v>488.55</v>
      </c>
      <c r="G189">
        <v>14.465</v>
      </c>
    </row>
    <row r="190" spans="1:7" ht="25.5">
      <c r="A190" s="8">
        <v>12682</v>
      </c>
      <c r="B190" s="10" t="s">
        <v>161</v>
      </c>
      <c r="C190" s="2">
        <v>-26.600004453533963</v>
      </c>
      <c r="D190" s="2">
        <v>126.53332732470653</v>
      </c>
      <c r="E190">
        <v>525.02</v>
      </c>
      <c r="F190">
        <v>514.726</v>
      </c>
      <c r="G190">
        <v>10.293999999999983</v>
      </c>
    </row>
    <row r="191" spans="1:7" ht="25.5">
      <c r="A191" s="8">
        <v>12630</v>
      </c>
      <c r="B191" s="10" t="s">
        <v>161</v>
      </c>
      <c r="C191" s="2">
        <v>-25.800006733827765</v>
      </c>
      <c r="D191" s="2">
        <v>127.39999046266061</v>
      </c>
      <c r="E191">
        <v>637.98599999999999</v>
      </c>
      <c r="F191">
        <v>518.50199999999995</v>
      </c>
      <c r="G191">
        <v>119.48400000000004</v>
      </c>
    </row>
    <row r="192" spans="1:7" ht="25.5">
      <c r="A192" s="8">
        <v>12734</v>
      </c>
      <c r="B192" s="10" t="s">
        <v>161</v>
      </c>
      <c r="C192" s="2">
        <v>-26.183335833102536</v>
      </c>
      <c r="D192" s="2">
        <v>127.43333074617051</v>
      </c>
      <c r="E192">
        <v>615.97299999999996</v>
      </c>
      <c r="F192">
        <v>579.66600000000005</v>
      </c>
      <c r="G192">
        <v>36.306999999999903</v>
      </c>
    </row>
    <row r="193" spans="1:7" ht="25.5">
      <c r="A193" s="8">
        <v>12680</v>
      </c>
      <c r="B193" s="10" t="s">
        <v>161</v>
      </c>
      <c r="C193" s="2">
        <v>-28.750002343816011</v>
      </c>
      <c r="D193" s="2">
        <v>128.96666111051076</v>
      </c>
      <c r="E193">
        <v>274.00400000000002</v>
      </c>
      <c r="F193">
        <v>297.75</v>
      </c>
      <c r="G193">
        <v>-23.745999999999981</v>
      </c>
    </row>
    <row r="194" spans="1:7" ht="25.5">
      <c r="A194" s="8">
        <v>12602</v>
      </c>
      <c r="B194" s="10" t="s">
        <v>161</v>
      </c>
      <c r="C194" s="2">
        <v>-28.916667066488106</v>
      </c>
      <c r="D194" s="2">
        <v>129.18333293449439</v>
      </c>
      <c r="E194">
        <v>258.00099999999998</v>
      </c>
      <c r="F194">
        <v>293.87599999999998</v>
      </c>
      <c r="G194">
        <v>-35.875</v>
      </c>
    </row>
    <row r="195" spans="1:7" ht="25.5">
      <c r="A195" s="8">
        <v>12591</v>
      </c>
      <c r="B195" s="10" t="s">
        <v>161</v>
      </c>
      <c r="C195" s="2">
        <v>-25.916673774814594</v>
      </c>
      <c r="D195" s="2">
        <v>129.35832633238536</v>
      </c>
      <c r="E195">
        <v>924.00400000000002</v>
      </c>
      <c r="F195">
        <v>809.10400000000004</v>
      </c>
      <c r="G195">
        <v>114.9</v>
      </c>
    </row>
    <row r="196" spans="1:7" ht="25.5">
      <c r="A196" s="8">
        <v>12605</v>
      </c>
      <c r="B196" s="10" t="s">
        <v>161</v>
      </c>
      <c r="C196" s="2">
        <v>-31.366675679256065</v>
      </c>
      <c r="D196" s="2">
        <v>129.99999587618385</v>
      </c>
      <c r="E196">
        <v>85.019800000000004</v>
      </c>
      <c r="F196">
        <v>87.148700000000005</v>
      </c>
      <c r="G196">
        <v>-2.1289000000000016</v>
      </c>
    </row>
    <row r="197" spans="1:7" ht="25.5">
      <c r="A197" s="8">
        <v>12730</v>
      </c>
      <c r="B197" s="10" t="s">
        <v>161</v>
      </c>
      <c r="C197" s="2">
        <v>-26.450008358447572</v>
      </c>
      <c r="D197" s="2">
        <v>130.44999821321514</v>
      </c>
      <c r="E197">
        <v>612.00800000000004</v>
      </c>
      <c r="F197">
        <v>627.69500000000005</v>
      </c>
      <c r="G197">
        <v>-15.687000000000012</v>
      </c>
    </row>
    <row r="198" spans="1:7" ht="25.5">
      <c r="A198" s="8">
        <v>12606</v>
      </c>
      <c r="B198" s="10" t="s">
        <v>161</v>
      </c>
      <c r="C198" s="2">
        <v>-31.323619340093831</v>
      </c>
      <c r="D198" s="2">
        <v>130.7083308667593</v>
      </c>
      <c r="E198">
        <v>18.177700000000002</v>
      </c>
      <c r="F198">
        <v>69.403599999999997</v>
      </c>
      <c r="G198">
        <v>-51.225899999999996</v>
      </c>
    </row>
    <row r="199" spans="1:7" ht="25.5">
      <c r="A199" s="8">
        <v>12668</v>
      </c>
      <c r="B199" s="10" t="s">
        <v>161</v>
      </c>
      <c r="C199" s="2">
        <v>-31.322227246634359</v>
      </c>
      <c r="D199" s="2">
        <v>130.71665976135665</v>
      </c>
      <c r="E199">
        <v>19.0002</v>
      </c>
      <c r="F199">
        <v>69.189400000000006</v>
      </c>
      <c r="G199">
        <v>-50.189200000000007</v>
      </c>
    </row>
    <row r="200" spans="1:7" ht="25.5">
      <c r="A200" s="8">
        <v>12669</v>
      </c>
      <c r="B200" s="10" t="s">
        <v>161</v>
      </c>
      <c r="C200" s="2">
        <v>-31.202778636990612</v>
      </c>
      <c r="D200" s="2">
        <v>130.74165925441031</v>
      </c>
      <c r="E200">
        <v>28.008700000000001</v>
      </c>
      <c r="F200">
        <v>79.154499999999999</v>
      </c>
      <c r="G200">
        <v>-51.145799999999994</v>
      </c>
    </row>
    <row r="201" spans="1:7" ht="25.5">
      <c r="A201" s="8">
        <v>12667</v>
      </c>
      <c r="B201" s="10" t="s">
        <v>161</v>
      </c>
      <c r="C201" s="2">
        <v>-31.366672285473722</v>
      </c>
      <c r="D201" s="2">
        <v>130.86526907670699</v>
      </c>
      <c r="E201">
        <v>30.835799999999999</v>
      </c>
      <c r="F201">
        <v>60.395600000000002</v>
      </c>
      <c r="G201">
        <v>-29.559800000000003</v>
      </c>
    </row>
    <row r="202" spans="1:7" ht="25.5">
      <c r="A202" s="8">
        <v>12672</v>
      </c>
      <c r="B202" s="10" t="s">
        <v>161</v>
      </c>
      <c r="C202" s="2">
        <v>-31.248612038045145</v>
      </c>
      <c r="D202" s="2">
        <v>131.037496136968</v>
      </c>
      <c r="E202">
        <v>55.668799999999997</v>
      </c>
      <c r="F202">
        <v>64.124300000000005</v>
      </c>
      <c r="G202">
        <v>-8.4555000000000078</v>
      </c>
    </row>
    <row r="203" spans="1:7" ht="25.5">
      <c r="A203" s="8">
        <v>12670</v>
      </c>
      <c r="B203" s="10" t="s">
        <v>161</v>
      </c>
      <c r="C203" s="2">
        <v>-31.155558249132323</v>
      </c>
      <c r="D203" s="2">
        <v>131.04721791516886</v>
      </c>
      <c r="E203">
        <v>64.431600000000003</v>
      </c>
      <c r="F203">
        <v>66.754499999999993</v>
      </c>
      <c r="G203">
        <v>-2.32289999999999</v>
      </c>
    </row>
    <row r="204" spans="1:7" ht="25.5">
      <c r="A204" s="8">
        <v>12665</v>
      </c>
      <c r="B204" s="10" t="s">
        <v>161</v>
      </c>
      <c r="C204" s="2">
        <v>-31.294446991551716</v>
      </c>
      <c r="D204" s="2">
        <v>131.07222127231648</v>
      </c>
      <c r="E204">
        <v>51.326500000000003</v>
      </c>
      <c r="F204">
        <v>43.787799999999997</v>
      </c>
      <c r="G204">
        <v>7.5387000000000057</v>
      </c>
    </row>
    <row r="205" spans="1:7" ht="25.5">
      <c r="A205" s="8">
        <v>12666</v>
      </c>
      <c r="B205" s="10" t="s">
        <v>161</v>
      </c>
      <c r="C205" s="2">
        <v>-31.027786226829548</v>
      </c>
      <c r="D205" s="2">
        <v>131.38333078643194</v>
      </c>
      <c r="E205">
        <v>118.985</v>
      </c>
      <c r="F205">
        <v>70.014099999999999</v>
      </c>
      <c r="G205">
        <v>48.9709</v>
      </c>
    </row>
    <row r="206" spans="1:7" ht="25.5">
      <c r="A206" s="8">
        <v>12671</v>
      </c>
      <c r="B206" s="10" t="s">
        <v>161</v>
      </c>
      <c r="C206" s="2">
        <v>-31.033342176843497</v>
      </c>
      <c r="D206" s="2">
        <v>131.38333305432221</v>
      </c>
      <c r="E206">
        <v>118.985</v>
      </c>
      <c r="F206">
        <v>70.465100000000007</v>
      </c>
      <c r="G206">
        <v>48.519899999999993</v>
      </c>
    </row>
    <row r="207" spans="1:7">
      <c r="A207" s="1">
        <v>12600</v>
      </c>
      <c r="B207" s="1" t="s">
        <v>161</v>
      </c>
      <c r="C207" s="5">
        <v>-27.033334</v>
      </c>
      <c r="D207" s="5">
        <v>132.43332799999999</v>
      </c>
      <c r="E207">
        <v>707.94200000000001</v>
      </c>
      <c r="F207">
        <v>585.096</v>
      </c>
      <c r="G207">
        <v>122.846</v>
      </c>
    </row>
    <row r="208" spans="1:7">
      <c r="A208" s="1">
        <v>12570</v>
      </c>
      <c r="B208" s="1" t="s">
        <v>161</v>
      </c>
      <c r="C208" s="5">
        <v>-26.583338999999999</v>
      </c>
      <c r="D208" s="5">
        <v>133.249999</v>
      </c>
      <c r="E208">
        <v>428.00900000000001</v>
      </c>
      <c r="F208">
        <v>417.505</v>
      </c>
      <c r="G208">
        <v>10.504000000000019</v>
      </c>
    </row>
    <row r="209" spans="1:7">
      <c r="A209" s="1">
        <v>12617</v>
      </c>
      <c r="B209" s="1" t="s">
        <v>161</v>
      </c>
      <c r="C209" s="5">
        <v>-26.566672000000001</v>
      </c>
      <c r="D209" s="5">
        <v>133.26666499999999</v>
      </c>
      <c r="E209">
        <v>411.024</v>
      </c>
      <c r="F209">
        <v>424.76600000000002</v>
      </c>
      <c r="G209">
        <v>-13.742000000000019</v>
      </c>
    </row>
    <row r="210" spans="1:7">
      <c r="A210" s="1">
        <v>12616</v>
      </c>
      <c r="B210" s="1" t="s">
        <v>161</v>
      </c>
      <c r="C210" s="5">
        <v>-26.983335</v>
      </c>
      <c r="D210" s="5">
        <v>133.44999899999999</v>
      </c>
      <c r="E210">
        <v>377</v>
      </c>
      <c r="F210">
        <v>377.185</v>
      </c>
      <c r="G210">
        <v>-0.18500000000000227</v>
      </c>
    </row>
    <row r="211" spans="1:7">
      <c r="A211" s="1">
        <v>12618</v>
      </c>
      <c r="B211" s="1" t="s">
        <v>161</v>
      </c>
      <c r="C211" s="5">
        <v>-26.950005999999998</v>
      </c>
      <c r="D211" s="5">
        <v>133.508332</v>
      </c>
      <c r="E211">
        <v>354.01299999999998</v>
      </c>
      <c r="F211">
        <v>380.52600000000001</v>
      </c>
      <c r="G211">
        <v>-26.513000000000034</v>
      </c>
    </row>
    <row r="212" spans="1:7">
      <c r="A212" s="1">
        <v>12620</v>
      </c>
      <c r="B212" s="1" t="s">
        <v>161</v>
      </c>
      <c r="C212" s="5">
        <v>-26.950008</v>
      </c>
      <c r="D212" s="5">
        <v>133.74999099999999</v>
      </c>
      <c r="E212">
        <v>305.03199999999998</v>
      </c>
      <c r="F212">
        <v>335.90100000000001</v>
      </c>
      <c r="G212">
        <v>-30.869000000000028</v>
      </c>
    </row>
    <row r="213" spans="1:7">
      <c r="A213" s="1">
        <v>12619</v>
      </c>
      <c r="B213" s="1" t="s">
        <v>161</v>
      </c>
      <c r="C213" s="5">
        <v>-26.041671999999998</v>
      </c>
      <c r="D213" s="5">
        <v>133.774991</v>
      </c>
      <c r="E213">
        <v>491.94</v>
      </c>
      <c r="F213">
        <v>497.94099999999997</v>
      </c>
      <c r="G213">
        <v>-6.0009999999999764</v>
      </c>
    </row>
    <row r="214" spans="1:7">
      <c r="A214" s="1">
        <v>12638</v>
      </c>
      <c r="B214" s="1" t="s">
        <v>161</v>
      </c>
      <c r="C214" s="5">
        <v>-25.891670999999999</v>
      </c>
      <c r="D214" s="5">
        <v>133.89999800000001</v>
      </c>
      <c r="E214">
        <v>372.98599999999999</v>
      </c>
      <c r="F214">
        <v>444.06799999999998</v>
      </c>
      <c r="G214">
        <v>-71.081999999999994</v>
      </c>
    </row>
    <row r="215" spans="1:7">
      <c r="A215" s="1">
        <v>12588</v>
      </c>
      <c r="B215" s="1" t="s">
        <v>161</v>
      </c>
      <c r="C215" s="5">
        <v>-25.800008999999999</v>
      </c>
      <c r="D215" s="5">
        <v>133.89999800000001</v>
      </c>
      <c r="E215">
        <v>348.99400000000003</v>
      </c>
      <c r="F215">
        <v>402.16800000000001</v>
      </c>
      <c r="G215">
        <v>-53.173999999999978</v>
      </c>
    </row>
    <row r="216" spans="1:7">
      <c r="A216" s="1">
        <v>12639</v>
      </c>
      <c r="B216" s="1" t="s">
        <v>161</v>
      </c>
      <c r="C216" s="5">
        <v>-25.883337000000001</v>
      </c>
      <c r="D216" s="5">
        <v>133.94999200000001</v>
      </c>
      <c r="E216">
        <v>359.02499999999998</v>
      </c>
      <c r="F216">
        <v>410.99799999999999</v>
      </c>
      <c r="G216">
        <v>-51.973000000000013</v>
      </c>
    </row>
    <row r="217" spans="1:7">
      <c r="A217" s="1">
        <v>12640</v>
      </c>
      <c r="B217" s="1" t="s">
        <v>161</v>
      </c>
      <c r="C217" s="5">
        <v>-25.958335999999999</v>
      </c>
      <c r="D217" s="5">
        <v>134.07499300000001</v>
      </c>
      <c r="E217">
        <v>342.00099999999998</v>
      </c>
      <c r="F217">
        <v>384.685</v>
      </c>
      <c r="G217">
        <v>-42.684000000000026</v>
      </c>
    </row>
    <row r="218" spans="1:7">
      <c r="A218" s="1">
        <v>12697</v>
      </c>
      <c r="B218" s="1" t="s">
        <v>161</v>
      </c>
      <c r="C218" s="5">
        <v>-28.166668999999999</v>
      </c>
      <c r="D218" s="5">
        <v>134.083327</v>
      </c>
      <c r="E218">
        <v>229.023</v>
      </c>
      <c r="F218">
        <v>260.03399999999999</v>
      </c>
      <c r="G218">
        <v>-31.010999999999996</v>
      </c>
    </row>
    <row r="219" spans="1:7">
      <c r="A219" s="1">
        <v>12610</v>
      </c>
      <c r="B219" s="1" t="s">
        <v>161</v>
      </c>
      <c r="C219" s="5">
        <v>-27.966674999999999</v>
      </c>
      <c r="D219" s="5">
        <v>134.166662</v>
      </c>
      <c r="E219">
        <v>262.98200000000003</v>
      </c>
      <c r="F219">
        <v>266.476</v>
      </c>
      <c r="G219">
        <v>-3.4939999999999714</v>
      </c>
    </row>
    <row r="220" spans="1:7">
      <c r="A220" s="1">
        <v>12609</v>
      </c>
      <c r="B220" s="1" t="s">
        <v>161</v>
      </c>
      <c r="C220" s="5">
        <v>-27.966674999999999</v>
      </c>
      <c r="D220" s="5">
        <v>134.18332599999999</v>
      </c>
      <c r="E220">
        <v>262.98200000000003</v>
      </c>
      <c r="F220">
        <v>257.37200000000001</v>
      </c>
      <c r="G220">
        <v>5.6100000000000136</v>
      </c>
    </row>
    <row r="221" spans="1:7">
      <c r="A221" s="1">
        <v>12599</v>
      </c>
      <c r="B221" s="1" t="s">
        <v>161</v>
      </c>
      <c r="C221" s="5">
        <v>-28.225002</v>
      </c>
      <c r="D221" s="5">
        <v>134.208324</v>
      </c>
      <c r="E221">
        <v>195.98699999999999</v>
      </c>
      <c r="F221">
        <v>270.49900000000002</v>
      </c>
      <c r="G221">
        <v>-74.512000000000029</v>
      </c>
    </row>
    <row r="222" spans="1:7">
      <c r="A222" s="1">
        <v>12603</v>
      </c>
      <c r="B222" s="1" t="s">
        <v>161</v>
      </c>
      <c r="C222" s="5">
        <v>-28.183335</v>
      </c>
      <c r="D222" s="5">
        <v>134.24999099999999</v>
      </c>
      <c r="E222">
        <v>213.99100000000001</v>
      </c>
      <c r="F222">
        <v>274.05</v>
      </c>
      <c r="G222">
        <v>-60.058999999999997</v>
      </c>
    </row>
    <row r="223" spans="1:7">
      <c r="A223" s="1">
        <v>12732</v>
      </c>
      <c r="B223" s="1" t="s">
        <v>161</v>
      </c>
      <c r="C223" s="5">
        <v>-26.200005000000001</v>
      </c>
      <c r="D223" s="5">
        <v>134.24999299999999</v>
      </c>
      <c r="E223">
        <v>306.00700000000001</v>
      </c>
      <c r="F223">
        <v>316.185</v>
      </c>
      <c r="G223">
        <v>-10.177999999999997</v>
      </c>
    </row>
    <row r="224" spans="1:7">
      <c r="A224" s="1">
        <v>12613</v>
      </c>
      <c r="B224" s="1" t="s">
        <v>161</v>
      </c>
      <c r="C224" s="5">
        <v>-27.883338999999999</v>
      </c>
      <c r="D224" s="5">
        <v>134.25832700000001</v>
      </c>
      <c r="E224">
        <v>301.96199999999999</v>
      </c>
      <c r="F224">
        <v>279.59399999999999</v>
      </c>
      <c r="G224">
        <v>22.367999999999995</v>
      </c>
    </row>
    <row r="225" spans="1:7">
      <c r="A225" s="1">
        <v>12612</v>
      </c>
      <c r="B225" s="1" t="s">
        <v>161</v>
      </c>
      <c r="C225" s="5">
        <v>-27.900002000000001</v>
      </c>
      <c r="D225" s="5">
        <v>134.26665700000001</v>
      </c>
      <c r="E225">
        <v>264.95800000000003</v>
      </c>
      <c r="F225">
        <v>262.93200000000002</v>
      </c>
      <c r="G225">
        <v>2.0260000000000105</v>
      </c>
    </row>
    <row r="226" spans="1:7">
      <c r="A226" s="1">
        <v>12698</v>
      </c>
      <c r="B226" s="1" t="s">
        <v>161</v>
      </c>
      <c r="C226" s="5">
        <v>-28.200006999999999</v>
      </c>
      <c r="D226" s="5">
        <v>134.26666599999999</v>
      </c>
      <c r="E226">
        <v>216.00399999999999</v>
      </c>
      <c r="F226">
        <v>258.72300000000001</v>
      </c>
      <c r="G226">
        <v>-42.719000000000023</v>
      </c>
    </row>
    <row r="227" spans="1:7">
      <c r="A227" s="1">
        <v>12701</v>
      </c>
      <c r="B227" s="1" t="s">
        <v>161</v>
      </c>
      <c r="C227" s="5">
        <v>-28.200006999999999</v>
      </c>
      <c r="D227" s="5">
        <v>134.26666599999999</v>
      </c>
      <c r="E227">
        <v>216.00399999999999</v>
      </c>
      <c r="F227">
        <v>258.72300000000001</v>
      </c>
      <c r="G227">
        <v>-42.719000000000023</v>
      </c>
    </row>
    <row r="228" spans="1:7">
      <c r="A228" s="1">
        <v>12611</v>
      </c>
      <c r="B228" s="1" t="s">
        <v>161</v>
      </c>
      <c r="C228" s="5">
        <v>-27.933336000000001</v>
      </c>
      <c r="D228" s="5">
        <v>134.28332399999999</v>
      </c>
      <c r="E228">
        <v>251.01400000000001</v>
      </c>
      <c r="F228">
        <v>241.76599999999999</v>
      </c>
      <c r="G228">
        <v>9.2480000000000189</v>
      </c>
    </row>
    <row r="229" spans="1:7">
      <c r="A229" s="1">
        <v>12608</v>
      </c>
      <c r="B229" s="1" t="s">
        <v>161</v>
      </c>
      <c r="C229" s="5">
        <v>-28.025003000000002</v>
      </c>
      <c r="D229" s="5">
        <v>134.333326</v>
      </c>
      <c r="E229">
        <v>210.02500000000001</v>
      </c>
      <c r="F229">
        <v>241.119</v>
      </c>
      <c r="G229">
        <v>-31.093999999999994</v>
      </c>
    </row>
    <row r="230" spans="1:7">
      <c r="A230" s="1">
        <v>12707</v>
      </c>
      <c r="B230" s="1" t="s">
        <v>161</v>
      </c>
      <c r="C230" s="5">
        <v>-28.533334</v>
      </c>
      <c r="D230" s="5">
        <v>134.33333200000001</v>
      </c>
      <c r="E230">
        <v>169.006</v>
      </c>
      <c r="F230">
        <v>259.99700000000001</v>
      </c>
      <c r="G230">
        <v>-90.991000000000014</v>
      </c>
    </row>
    <row r="231" spans="1:7">
      <c r="A231" s="1">
        <v>107232</v>
      </c>
      <c r="B231" s="1" t="s">
        <v>161</v>
      </c>
      <c r="C231" s="5">
        <v>-27.387250000000002</v>
      </c>
      <c r="D231" s="5">
        <v>134.51948999999999</v>
      </c>
      <c r="E231">
        <v>285.738</v>
      </c>
      <c r="F231">
        <v>267.65499999999997</v>
      </c>
      <c r="G231">
        <v>18.083000000000027</v>
      </c>
    </row>
    <row r="232" spans="1:7">
      <c r="A232" s="1">
        <v>12601</v>
      </c>
      <c r="B232" s="1" t="s">
        <v>161</v>
      </c>
      <c r="C232" s="5">
        <v>-28.800001000000002</v>
      </c>
      <c r="D232" s="5">
        <v>134.58332799999999</v>
      </c>
      <c r="E232">
        <v>159.994</v>
      </c>
      <c r="F232">
        <v>206.571</v>
      </c>
      <c r="G232">
        <v>-46.576999999999998</v>
      </c>
    </row>
    <row r="233" spans="1:7">
      <c r="A233" s="1">
        <v>12615</v>
      </c>
      <c r="B233" s="1" t="s">
        <v>161</v>
      </c>
      <c r="C233" s="5">
        <v>-27.700008</v>
      </c>
      <c r="D233" s="5">
        <v>134.599997</v>
      </c>
      <c r="E233">
        <v>251.01400000000001</v>
      </c>
      <c r="F233">
        <v>215.07</v>
      </c>
      <c r="G233">
        <v>35.944000000000017</v>
      </c>
    </row>
    <row r="234" spans="1:7">
      <c r="A234" s="1">
        <v>12614</v>
      </c>
      <c r="B234" s="1" t="s">
        <v>161</v>
      </c>
      <c r="C234" s="5">
        <v>-27.900006999999999</v>
      </c>
      <c r="D234" s="5">
        <v>134.608328</v>
      </c>
      <c r="E234">
        <v>220.00800000000001</v>
      </c>
      <c r="F234">
        <v>198.095</v>
      </c>
      <c r="G234">
        <v>21.913000000000011</v>
      </c>
    </row>
    <row r="235" spans="1:7">
      <c r="A235" s="1">
        <v>12702</v>
      </c>
      <c r="B235" s="1" t="s">
        <v>161</v>
      </c>
      <c r="C235" s="5">
        <v>-29.433342</v>
      </c>
      <c r="D235" s="5">
        <v>134.749999</v>
      </c>
      <c r="E235">
        <v>152.006</v>
      </c>
      <c r="F235">
        <v>149.83099999999999</v>
      </c>
      <c r="G235">
        <v>2.1750000000000114</v>
      </c>
    </row>
    <row r="236" spans="1:7">
      <c r="A236" s="1">
        <v>12587</v>
      </c>
      <c r="B236" s="1" t="s">
        <v>161</v>
      </c>
      <c r="C236" s="5">
        <v>-25.883341999999999</v>
      </c>
      <c r="D236" s="5">
        <v>135.199996</v>
      </c>
      <c r="E236">
        <v>211.99700000000001</v>
      </c>
      <c r="F236">
        <v>179.35499999999999</v>
      </c>
      <c r="G236">
        <v>32.642000000000024</v>
      </c>
    </row>
    <row r="237" spans="1:7">
      <c r="A237" s="1">
        <v>12586</v>
      </c>
      <c r="B237" s="1" t="s">
        <v>161</v>
      </c>
      <c r="C237" s="5">
        <v>-25.883341999999999</v>
      </c>
      <c r="D237" s="5">
        <v>135.199996</v>
      </c>
      <c r="E237">
        <v>211.99700000000001</v>
      </c>
      <c r="F237">
        <v>179.35499999999999</v>
      </c>
      <c r="G237">
        <v>32.642000000000024</v>
      </c>
    </row>
    <row r="238" spans="1:7">
      <c r="A238" s="1">
        <v>12664</v>
      </c>
      <c r="B238" s="1" t="s">
        <v>161</v>
      </c>
      <c r="C238" s="5">
        <v>-26.216676</v>
      </c>
      <c r="D238" s="5">
        <v>135.43332799999999</v>
      </c>
      <c r="E238">
        <v>181.99799999999999</v>
      </c>
      <c r="F238">
        <v>250.99199999999999</v>
      </c>
      <c r="G238">
        <v>-68.994</v>
      </c>
    </row>
    <row r="239" spans="1:7">
      <c r="A239" s="1">
        <v>378</v>
      </c>
      <c r="B239" s="1" t="s">
        <v>161</v>
      </c>
      <c r="C239" s="5">
        <v>-32.385579999999997</v>
      </c>
      <c r="D239" s="5">
        <v>135.694243</v>
      </c>
      <c r="E239">
        <v>248.95</v>
      </c>
      <c r="F239">
        <v>287.82100000000003</v>
      </c>
      <c r="G239">
        <v>-38.871000000000038</v>
      </c>
    </row>
    <row r="240" spans="1:7">
      <c r="A240" s="1">
        <v>12709</v>
      </c>
      <c r="B240" s="1" t="s">
        <v>161</v>
      </c>
      <c r="C240" s="5">
        <v>-34.583336000000003</v>
      </c>
      <c r="D240" s="5">
        <v>135.833325</v>
      </c>
      <c r="E240">
        <v>73.003200000000007</v>
      </c>
      <c r="F240">
        <v>88.183000000000007</v>
      </c>
      <c r="G240">
        <v>-15.1798</v>
      </c>
    </row>
    <row r="241" spans="1:7">
      <c r="A241" s="1">
        <v>12706</v>
      </c>
      <c r="B241" s="1" t="s">
        <v>161</v>
      </c>
      <c r="C241" s="5">
        <v>-27.666671000000001</v>
      </c>
      <c r="D241" s="5">
        <v>135.99999399999999</v>
      </c>
      <c r="E241">
        <v>111.999</v>
      </c>
      <c r="F241">
        <v>119.002</v>
      </c>
      <c r="G241">
        <v>-7.0030000000000001</v>
      </c>
    </row>
    <row r="242" spans="1:7">
      <c r="A242" s="1">
        <v>12607</v>
      </c>
      <c r="B242" s="1" t="s">
        <v>161</v>
      </c>
      <c r="C242" s="5">
        <v>-31.183337000000002</v>
      </c>
      <c r="D242" s="5">
        <v>136.333326</v>
      </c>
      <c r="E242">
        <v>198.98099999999999</v>
      </c>
      <c r="F242">
        <v>114.71899999999999</v>
      </c>
      <c r="G242">
        <v>84.262</v>
      </c>
    </row>
    <row r="243" spans="1:7">
      <c r="A243" s="1">
        <v>12872</v>
      </c>
      <c r="B243" s="1" t="s">
        <v>161</v>
      </c>
      <c r="C243" s="5">
        <v>-33.200001999999998</v>
      </c>
      <c r="D243" s="5">
        <v>137.09999099999999</v>
      </c>
      <c r="E243">
        <v>221.93100000000001</v>
      </c>
      <c r="F243">
        <v>208.83</v>
      </c>
      <c r="G243">
        <v>13.100999999999999</v>
      </c>
    </row>
    <row r="244" spans="1:7">
      <c r="A244" s="1">
        <v>12686</v>
      </c>
      <c r="B244" s="1" t="s">
        <v>161</v>
      </c>
      <c r="C244" s="5">
        <v>-33.016666999999998</v>
      </c>
      <c r="D244" s="5">
        <v>137.166662</v>
      </c>
      <c r="E244">
        <v>192.041</v>
      </c>
      <c r="F244">
        <v>205.01599999999999</v>
      </c>
      <c r="G244">
        <v>-12.975</v>
      </c>
    </row>
    <row r="245" spans="1:7">
      <c r="A245" s="1">
        <v>12685</v>
      </c>
      <c r="B245" s="1" t="s">
        <v>161</v>
      </c>
      <c r="C245" s="5">
        <v>-33.033341</v>
      </c>
      <c r="D245" s="5">
        <v>137.166664</v>
      </c>
      <c r="E245">
        <v>202.011</v>
      </c>
      <c r="F245">
        <v>297.35199999999998</v>
      </c>
      <c r="G245">
        <v>-95.34099999999998</v>
      </c>
    </row>
    <row r="246" spans="1:7">
      <c r="A246" s="1">
        <v>12687</v>
      </c>
      <c r="B246" s="1" t="s">
        <v>161</v>
      </c>
      <c r="C246" s="5">
        <v>-33.050006000000003</v>
      </c>
      <c r="D246" s="5">
        <v>137.16666499999999</v>
      </c>
      <c r="E246">
        <v>197.01599999999999</v>
      </c>
      <c r="F246">
        <v>322.44099999999997</v>
      </c>
      <c r="G246">
        <v>-125.425</v>
      </c>
    </row>
    <row r="247" spans="1:7">
      <c r="A247" s="1">
        <v>12705</v>
      </c>
      <c r="B247" s="1" t="s">
        <v>161</v>
      </c>
      <c r="C247" s="5">
        <v>-32.750000999999997</v>
      </c>
      <c r="D247" s="5">
        <v>137.43333100000001</v>
      </c>
      <c r="E247">
        <v>110.041</v>
      </c>
      <c r="F247">
        <v>159.202</v>
      </c>
      <c r="G247">
        <v>-49.161000000000001</v>
      </c>
    </row>
    <row r="248" spans="1:7">
      <c r="A248" s="1">
        <v>12653</v>
      </c>
      <c r="B248" s="1" t="s">
        <v>161</v>
      </c>
      <c r="C248" s="5">
        <v>-29.500005000000002</v>
      </c>
      <c r="D248" s="5">
        <v>137.49999500000001</v>
      </c>
      <c r="E248">
        <v>67.986599999999996</v>
      </c>
      <c r="F248">
        <v>14.9185</v>
      </c>
      <c r="G248">
        <v>53.068099999999994</v>
      </c>
    </row>
    <row r="249" spans="1:7">
      <c r="A249" s="1">
        <v>12675</v>
      </c>
      <c r="B249" s="1" t="s">
        <v>161</v>
      </c>
      <c r="C249" s="5">
        <v>-32.083337999999998</v>
      </c>
      <c r="D249" s="5">
        <v>138.06665799999999</v>
      </c>
      <c r="E249">
        <v>303.988</v>
      </c>
      <c r="F249">
        <v>284.39699999999999</v>
      </c>
      <c r="G249">
        <v>19.591000000000008</v>
      </c>
    </row>
    <row r="250" spans="1:7">
      <c r="A250" s="1">
        <v>12652</v>
      </c>
      <c r="B250" s="1" t="s">
        <v>161</v>
      </c>
      <c r="C250" s="5">
        <v>-30.550001000000002</v>
      </c>
      <c r="D250" s="5">
        <v>138.41666599999999</v>
      </c>
      <c r="E250">
        <v>299.012</v>
      </c>
      <c r="F250">
        <v>226.05099999999999</v>
      </c>
      <c r="G250">
        <v>72.961000000000013</v>
      </c>
    </row>
    <row r="251" spans="1:7">
      <c r="A251" s="1">
        <v>12737</v>
      </c>
      <c r="B251" s="1" t="s">
        <v>161</v>
      </c>
      <c r="C251" s="5">
        <v>-31.500001999999999</v>
      </c>
      <c r="D251" s="5">
        <v>138.74999600000001</v>
      </c>
      <c r="E251">
        <v>638.94399999999996</v>
      </c>
      <c r="F251">
        <v>586.77800000000002</v>
      </c>
      <c r="G251">
        <v>52.16599999999994</v>
      </c>
    </row>
    <row r="252" spans="1:7">
      <c r="A252" s="1">
        <v>107226</v>
      </c>
      <c r="B252" s="1" t="s">
        <v>161</v>
      </c>
      <c r="C252" s="5">
        <v>-29.392106999999999</v>
      </c>
      <c r="D252" s="5">
        <v>138.77418599999999</v>
      </c>
      <c r="E252">
        <v>90.971100000000007</v>
      </c>
      <c r="F252">
        <v>90.216099999999997</v>
      </c>
      <c r="G252">
        <v>0.75500000000000966</v>
      </c>
    </row>
    <row r="253" spans="1:7">
      <c r="A253" s="1">
        <v>113906</v>
      </c>
      <c r="B253" s="1" t="s">
        <v>161</v>
      </c>
      <c r="C253" s="5">
        <v>-30.340722</v>
      </c>
      <c r="D253" s="5">
        <v>138.81952899999999</v>
      </c>
      <c r="E253">
        <v>534.24599999999998</v>
      </c>
      <c r="F253">
        <v>363.65300000000002</v>
      </c>
      <c r="G253">
        <v>170.59299999999996</v>
      </c>
    </row>
    <row r="254" spans="1:7">
      <c r="A254" s="1">
        <v>12735</v>
      </c>
      <c r="B254" s="1" t="s">
        <v>161</v>
      </c>
      <c r="C254" s="5">
        <v>-31.500005999999999</v>
      </c>
      <c r="D254" s="5">
        <v>138.833325</v>
      </c>
      <c r="E254">
        <v>323.01499999999999</v>
      </c>
      <c r="F254">
        <v>398.35500000000002</v>
      </c>
      <c r="G254">
        <v>-75.34</v>
      </c>
    </row>
    <row r="255" spans="1:7">
      <c r="A255" s="1">
        <v>12654</v>
      </c>
      <c r="B255" s="1" t="s">
        <v>161</v>
      </c>
      <c r="C255" s="5">
        <v>-32.15</v>
      </c>
      <c r="D255" s="5">
        <v>138.916662</v>
      </c>
      <c r="E255">
        <v>357.029</v>
      </c>
      <c r="F255">
        <v>354.41199999999998</v>
      </c>
      <c r="G255">
        <v>2.6170000000000186</v>
      </c>
    </row>
    <row r="256" spans="1:7">
      <c r="A256" s="1">
        <v>12656</v>
      </c>
      <c r="B256" s="1" t="s">
        <v>161</v>
      </c>
      <c r="C256" s="5">
        <v>-32.15</v>
      </c>
      <c r="D256" s="5">
        <v>138.916662</v>
      </c>
      <c r="E256">
        <v>357.029</v>
      </c>
      <c r="F256">
        <v>354.41199999999998</v>
      </c>
      <c r="G256">
        <v>2.6170000000000186</v>
      </c>
    </row>
    <row r="257" spans="1:7">
      <c r="A257" s="1">
        <v>12676</v>
      </c>
      <c r="B257" s="1" t="s">
        <v>161</v>
      </c>
      <c r="C257" s="5">
        <v>-32.15</v>
      </c>
      <c r="D257" s="5">
        <v>138.916662</v>
      </c>
      <c r="E257">
        <v>357.029</v>
      </c>
      <c r="F257">
        <v>354.41199999999998</v>
      </c>
      <c r="G257">
        <v>2.6170000000000186</v>
      </c>
    </row>
    <row r="258" spans="1:7">
      <c r="A258" s="1">
        <v>12731</v>
      </c>
      <c r="B258" s="1" t="s">
        <v>161</v>
      </c>
      <c r="C258" s="5">
        <v>-30.566666999999999</v>
      </c>
      <c r="D258" s="5">
        <v>139.14999399999999</v>
      </c>
      <c r="E258">
        <v>451.10199999999998</v>
      </c>
      <c r="F258">
        <v>379.726</v>
      </c>
      <c r="G258">
        <v>71.375999999999976</v>
      </c>
    </row>
    <row r="259" spans="1:7">
      <c r="A259" s="1">
        <v>12569</v>
      </c>
      <c r="B259" s="1" t="s">
        <v>161</v>
      </c>
      <c r="C259" s="5">
        <v>-30.683335</v>
      </c>
      <c r="D259" s="5">
        <v>139.21666400000001</v>
      </c>
      <c r="E259">
        <v>219.03899999999999</v>
      </c>
      <c r="F259">
        <v>220.863</v>
      </c>
      <c r="G259">
        <v>-1.8240000000000123</v>
      </c>
    </row>
    <row r="260" spans="1:7">
      <c r="A260" s="1">
        <v>12683</v>
      </c>
      <c r="B260" s="1" t="s">
        <v>161</v>
      </c>
      <c r="C260" s="5">
        <v>-30.966673</v>
      </c>
      <c r="D260" s="5">
        <v>139.266662</v>
      </c>
      <c r="E260">
        <v>236.059</v>
      </c>
      <c r="F260">
        <v>189.19800000000001</v>
      </c>
      <c r="G260">
        <v>46.86099999999999</v>
      </c>
    </row>
    <row r="261" spans="1:7">
      <c r="A261" s="1">
        <v>114227</v>
      </c>
      <c r="B261" s="1" t="s">
        <v>161</v>
      </c>
      <c r="C261" s="5">
        <v>-30.175476</v>
      </c>
      <c r="D261" s="5">
        <v>139.273877</v>
      </c>
      <c r="E261">
        <v>711.69899999999996</v>
      </c>
      <c r="F261">
        <v>596.25800000000004</v>
      </c>
      <c r="G261">
        <v>115.44099999999992</v>
      </c>
    </row>
    <row r="262" spans="1:7">
      <c r="A262" s="1">
        <v>12604</v>
      </c>
      <c r="B262" s="1" t="s">
        <v>161</v>
      </c>
      <c r="C262" s="5">
        <v>-30.666668000000001</v>
      </c>
      <c r="D262" s="5">
        <v>139.28332499999999</v>
      </c>
      <c r="E262">
        <v>159.03700000000001</v>
      </c>
      <c r="F262">
        <v>121.56399999999999</v>
      </c>
      <c r="G262">
        <v>37.473000000000013</v>
      </c>
    </row>
    <row r="263" spans="1:7">
      <c r="A263" s="1">
        <v>12694</v>
      </c>
      <c r="B263" s="1" t="s">
        <v>161</v>
      </c>
      <c r="C263" s="5">
        <v>-32.050001999999999</v>
      </c>
      <c r="D263" s="5">
        <v>140.166662</v>
      </c>
      <c r="E263">
        <v>267.00900000000001</v>
      </c>
      <c r="F263">
        <v>228.07599999999999</v>
      </c>
      <c r="G263">
        <v>38.933000000000021</v>
      </c>
    </row>
    <row r="264" spans="1:7">
      <c r="A264" s="1">
        <v>6603</v>
      </c>
      <c r="B264" s="1" t="s">
        <v>161</v>
      </c>
      <c r="C264" s="5">
        <v>-32.719478000000002</v>
      </c>
      <c r="D264" s="5">
        <v>140.17833400000001</v>
      </c>
      <c r="E264">
        <v>291.09100000000001</v>
      </c>
      <c r="F264">
        <v>264.83499999999998</v>
      </c>
      <c r="G264">
        <v>26.256000000000029</v>
      </c>
    </row>
    <row r="265" spans="1:7">
      <c r="A265" s="1">
        <v>12642</v>
      </c>
      <c r="B265" s="1" t="s">
        <v>161</v>
      </c>
      <c r="C265" s="5">
        <v>-32.716669000000003</v>
      </c>
      <c r="D265" s="5">
        <v>140.19999899999999</v>
      </c>
      <c r="E265">
        <v>364.012</v>
      </c>
      <c r="F265">
        <v>312.45999999999998</v>
      </c>
      <c r="G265">
        <v>51.552000000000021</v>
      </c>
    </row>
    <row r="266" spans="1:7">
      <c r="A266" s="1">
        <v>12729</v>
      </c>
      <c r="B266" s="1" t="s">
        <v>161</v>
      </c>
      <c r="C266" s="5">
        <v>-34.225009</v>
      </c>
      <c r="D266" s="5">
        <v>140.383332</v>
      </c>
      <c r="E266">
        <v>22.991099999999999</v>
      </c>
      <c r="F266">
        <v>14.654</v>
      </c>
      <c r="G266">
        <v>8.3370999999999995</v>
      </c>
    </row>
    <row r="267" spans="1:7">
      <c r="A267" s="1">
        <v>12567</v>
      </c>
      <c r="B267" s="1" t="s">
        <v>161</v>
      </c>
      <c r="C267" s="5">
        <v>-37.833334000000001</v>
      </c>
      <c r="D267" s="5">
        <v>140.783331</v>
      </c>
      <c r="E267">
        <v>91.986500000000007</v>
      </c>
      <c r="F267">
        <v>0</v>
      </c>
      <c r="G267">
        <v>91.986500000000007</v>
      </c>
    </row>
    <row r="268" spans="1:7">
      <c r="A268" s="1">
        <v>12710</v>
      </c>
      <c r="B268" s="1" t="s">
        <v>161</v>
      </c>
      <c r="C268" s="5">
        <v>-32.450007999999997</v>
      </c>
      <c r="D268" s="5">
        <v>140.916663</v>
      </c>
      <c r="E268">
        <v>153.00200000000001</v>
      </c>
      <c r="F268">
        <v>199.34399999999999</v>
      </c>
      <c r="G268">
        <v>-46.341999999999985</v>
      </c>
    </row>
    <row r="269" spans="1:7">
      <c r="A269" s="1">
        <v>12579</v>
      </c>
      <c r="B269" s="1" t="s">
        <v>161</v>
      </c>
      <c r="C269" s="5">
        <v>-31.183336000000001</v>
      </c>
      <c r="D269" s="5">
        <v>141.49999</v>
      </c>
      <c r="E269">
        <v>302.98099999999999</v>
      </c>
      <c r="F269">
        <v>252.18199999999999</v>
      </c>
      <c r="G269">
        <v>50.799000000000007</v>
      </c>
    </row>
    <row r="270" spans="1:7">
      <c r="A270" s="1">
        <v>12582</v>
      </c>
      <c r="B270" s="1" t="s">
        <v>161</v>
      </c>
      <c r="C270" s="5">
        <v>-29.083341000000001</v>
      </c>
      <c r="D270" s="5">
        <v>141.766659</v>
      </c>
      <c r="E270">
        <v>139.952</v>
      </c>
      <c r="F270">
        <v>247.66900000000001</v>
      </c>
      <c r="G270">
        <v>-107.71700000000001</v>
      </c>
    </row>
    <row r="271" spans="1:7">
      <c r="A271" s="1">
        <v>12583</v>
      </c>
      <c r="B271" s="1" t="s">
        <v>161</v>
      </c>
      <c r="C271" s="5">
        <v>-29.083337</v>
      </c>
      <c r="D271" s="5">
        <v>141.88332700000001</v>
      </c>
      <c r="E271">
        <v>118.006</v>
      </c>
      <c r="F271">
        <v>222.15</v>
      </c>
      <c r="G271">
        <v>-104.14400000000001</v>
      </c>
    </row>
    <row r="272" spans="1:7">
      <c r="A272" s="1">
        <v>12584</v>
      </c>
      <c r="B272" s="1" t="s">
        <v>161</v>
      </c>
      <c r="C272" s="5">
        <v>-29.033332999999999</v>
      </c>
      <c r="D272" s="5">
        <v>141.94999100000001</v>
      </c>
      <c r="E272">
        <v>109</v>
      </c>
      <c r="F272">
        <v>198.417</v>
      </c>
      <c r="G272">
        <v>-89.417000000000002</v>
      </c>
    </row>
    <row r="273" spans="1:7">
      <c r="A273" s="1">
        <v>12577</v>
      </c>
      <c r="B273" s="1" t="s">
        <v>161</v>
      </c>
      <c r="C273" s="5">
        <v>-32.666671999999998</v>
      </c>
      <c r="D273" s="5">
        <v>142.333324</v>
      </c>
      <c r="E273">
        <v>47.011600000000001</v>
      </c>
      <c r="F273">
        <v>55.023499999999999</v>
      </c>
      <c r="G273">
        <v>-8.0118999999999971</v>
      </c>
    </row>
    <row r="274" spans="1:7">
      <c r="A274" s="1">
        <v>12578</v>
      </c>
      <c r="B274" s="1" t="s">
        <v>161</v>
      </c>
      <c r="C274" s="5">
        <v>-31.116669999999999</v>
      </c>
      <c r="D274" s="5">
        <v>142.69999899999999</v>
      </c>
      <c r="E274">
        <v>313.95600000000002</v>
      </c>
      <c r="F274">
        <v>220.904</v>
      </c>
      <c r="G274">
        <v>93.052000000000021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0BFB-3A65-4925-861E-2616BF6DA7EF}">
  <dimension ref="A1:W39"/>
  <sheetViews>
    <sheetView workbookViewId="0">
      <selection sqref="A1:IV65536"/>
    </sheetView>
  </sheetViews>
  <sheetFormatPr defaultRowHeight="12.75"/>
  <cols>
    <col min="2" max="3" width="20" customWidth="1"/>
    <col min="6" max="22" width="0" hidden="1" customWidth="1"/>
  </cols>
  <sheetData>
    <row r="1" spans="1:23">
      <c r="A1" s="1" t="s">
        <v>0</v>
      </c>
      <c r="B1" t="str">
        <f>FossilMiddens!I1</f>
        <v>Longitude</v>
      </c>
      <c r="C1" t="str">
        <f>FossilMiddens!H1</f>
        <v>Latitude</v>
      </c>
      <c r="D1" t="s">
        <v>162</v>
      </c>
      <c r="E1" t="s">
        <v>163</v>
      </c>
      <c r="W1" t="s">
        <v>164</v>
      </c>
    </row>
    <row r="2" spans="1:23">
      <c r="A2" s="1">
        <v>12684</v>
      </c>
      <c r="B2" s="5">
        <v>136.16666000000001</v>
      </c>
      <c r="C2" s="5">
        <v>-33.433340000000001</v>
      </c>
      <c r="D2">
        <v>238.977</v>
      </c>
      <c r="E2">
        <f>SUM(F2:V2)</f>
        <v>436.517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436.517</v>
      </c>
      <c r="U2">
        <v>0</v>
      </c>
      <c r="V2">
        <v>0</v>
      </c>
      <c r="W2">
        <f>ABS(D2-E2)</f>
        <v>197.54</v>
      </c>
    </row>
    <row r="3" spans="1:23">
      <c r="A3" s="1">
        <v>12674</v>
      </c>
      <c r="B3" s="5">
        <v>132.166661</v>
      </c>
      <c r="C3" s="5">
        <v>-30.866669999999999</v>
      </c>
      <c r="D3">
        <v>150</v>
      </c>
      <c r="E3">
        <f t="shared" ref="E3:E39" si="0">SUM(F3:V3)</f>
        <v>86.135400000000004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86.135400000000004</v>
      </c>
      <c r="T3">
        <v>0</v>
      </c>
      <c r="U3">
        <v>0</v>
      </c>
      <c r="V3">
        <v>0</v>
      </c>
      <c r="W3">
        <f t="shared" ref="W3:W39" si="1">ABS(D3-E3)</f>
        <v>63.864599999999996</v>
      </c>
    </row>
    <row r="4" spans="1:23">
      <c r="A4" s="1">
        <v>12688</v>
      </c>
      <c r="B4" s="5">
        <v>142.166664</v>
      </c>
      <c r="C4" s="5">
        <v>-34.183342000000003</v>
      </c>
      <c r="D4">
        <v>37.017899999999997</v>
      </c>
      <c r="E4">
        <f t="shared" si="0"/>
        <v>36.910299999999999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36.910299999999999</v>
      </c>
      <c r="V4">
        <v>0</v>
      </c>
      <c r="W4">
        <f t="shared" si="1"/>
        <v>0.10759999999999792</v>
      </c>
    </row>
    <row r="5" spans="1:23">
      <c r="A5" s="1">
        <v>12575</v>
      </c>
      <c r="B5" s="5">
        <v>142.18332599999999</v>
      </c>
      <c r="C5" s="5">
        <v>-34.166670000000003</v>
      </c>
      <c r="D5">
        <v>50.976399999999998</v>
      </c>
      <c r="E5">
        <f t="shared" si="0"/>
        <v>51.880699999999997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51.880699999999997</v>
      </c>
      <c r="V5">
        <v>0</v>
      </c>
      <c r="W5">
        <f t="shared" si="1"/>
        <v>0.90429999999999922</v>
      </c>
    </row>
    <row r="6" spans="1:23">
      <c r="A6" s="1">
        <v>12659</v>
      </c>
      <c r="B6" s="5">
        <v>139.28332900000001</v>
      </c>
      <c r="C6" s="5">
        <v>-30.966670000000001</v>
      </c>
      <c r="D6">
        <v>210.042</v>
      </c>
      <c r="E6">
        <f t="shared" si="0"/>
        <v>116.90300000000001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116.90300000000001</v>
      </c>
      <c r="W6">
        <f t="shared" si="1"/>
        <v>93.138999999999996</v>
      </c>
    </row>
    <row r="7" spans="1:23">
      <c r="A7" s="1">
        <v>12661</v>
      </c>
      <c r="B7" s="5">
        <v>138.36666099999999</v>
      </c>
      <c r="C7" s="5">
        <v>-30.583334000000001</v>
      </c>
      <c r="D7">
        <v>315.02100000000002</v>
      </c>
      <c r="E7">
        <f t="shared" si="0"/>
        <v>237.93199999999999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237.93199999999999</v>
      </c>
      <c r="W7">
        <f t="shared" si="1"/>
        <v>77.089000000000027</v>
      </c>
    </row>
    <row r="8" spans="1:23">
      <c r="A8" s="9">
        <v>12678</v>
      </c>
      <c r="B8" s="2">
        <v>125.88332589087337</v>
      </c>
      <c r="C8" s="2">
        <v>-32.216670195722415</v>
      </c>
      <c r="D8">
        <v>99.985399999999998</v>
      </c>
      <c r="E8">
        <f t="shared" si="0"/>
        <v>80.241200000000006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80.241200000000006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1"/>
        <v>19.744199999999992</v>
      </c>
    </row>
    <row r="9" spans="1:23">
      <c r="A9" s="9">
        <v>12738</v>
      </c>
      <c r="B9" s="2">
        <v>125.91666592057311</v>
      </c>
      <c r="C9" s="2">
        <v>-31.966669920192786</v>
      </c>
      <c r="D9">
        <v>93.978700000000003</v>
      </c>
      <c r="E9">
        <f t="shared" si="0"/>
        <v>98.885499999999993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98.885499999999993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1"/>
        <v>4.9067999999999898</v>
      </c>
    </row>
    <row r="10" spans="1:23">
      <c r="A10" s="9">
        <v>13233</v>
      </c>
      <c r="B10" s="2">
        <v>125.93333106124335</v>
      </c>
      <c r="C10" s="2">
        <v>-25.766668375519782</v>
      </c>
      <c r="D10">
        <v>517.98299999999995</v>
      </c>
      <c r="E10">
        <f t="shared" si="0"/>
        <v>493.88400000000001</v>
      </c>
      <c r="F10">
        <v>0</v>
      </c>
      <c r="G10">
        <v>0</v>
      </c>
      <c r="H10">
        <v>0</v>
      </c>
      <c r="I10">
        <v>0</v>
      </c>
      <c r="J10">
        <v>493.88400000000001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1"/>
        <v>24.098999999999933</v>
      </c>
    </row>
    <row r="11" spans="1:23">
      <c r="A11" s="9">
        <v>13235</v>
      </c>
      <c r="B11" s="2">
        <v>125.86666517263507</v>
      </c>
      <c r="C11" s="2">
        <v>-26.60000359388658</v>
      </c>
      <c r="D11">
        <v>494.005</v>
      </c>
      <c r="E11">
        <f t="shared" si="0"/>
        <v>458.52199999999999</v>
      </c>
      <c r="F11">
        <v>0</v>
      </c>
      <c r="G11">
        <v>0</v>
      </c>
      <c r="H11">
        <v>0</v>
      </c>
      <c r="I11">
        <v>0</v>
      </c>
      <c r="J11">
        <v>458.52199999999999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1"/>
        <v>35.483000000000004</v>
      </c>
    </row>
    <row r="12" spans="1:23">
      <c r="A12" s="8">
        <v>12695</v>
      </c>
      <c r="B12" s="2">
        <v>127.43332620260664</v>
      </c>
      <c r="C12" s="2">
        <v>-31.650000943509845</v>
      </c>
      <c r="D12">
        <v>121.98699999999999</v>
      </c>
      <c r="E12">
        <f t="shared" si="0"/>
        <v>113.096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113.096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1"/>
        <v>8.8909999999999911</v>
      </c>
    </row>
    <row r="13" spans="1:23">
      <c r="A13" s="8">
        <v>12700</v>
      </c>
      <c r="B13" s="2">
        <v>130.66666321618661</v>
      </c>
      <c r="C13" s="2">
        <v>-26.616672857216347</v>
      </c>
      <c r="D13">
        <v>709.01800000000003</v>
      </c>
      <c r="E13">
        <f t="shared" si="0"/>
        <v>550.35</v>
      </c>
      <c r="F13">
        <v>0</v>
      </c>
      <c r="G13">
        <v>0</v>
      </c>
      <c r="H13">
        <v>0</v>
      </c>
      <c r="I13">
        <v>0</v>
      </c>
      <c r="J13">
        <v>0</v>
      </c>
      <c r="K13">
        <v>550.35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1"/>
        <v>158.66800000000001</v>
      </c>
    </row>
    <row r="14" spans="1:23">
      <c r="A14" s="8">
        <v>12716</v>
      </c>
      <c r="B14" s="2">
        <v>127.79999638903517</v>
      </c>
      <c r="C14" s="2">
        <v>-31.766669713229184</v>
      </c>
      <c r="D14">
        <v>38.007899999999999</v>
      </c>
      <c r="E14">
        <f t="shared" si="0"/>
        <v>88.713800000000006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88.713800000000006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1"/>
        <v>50.705900000000007</v>
      </c>
    </row>
    <row r="15" spans="1:23">
      <c r="A15" s="8">
        <v>105480</v>
      </c>
      <c r="B15" s="2">
        <v>129.93292427739746</v>
      </c>
      <c r="C15" s="2">
        <v>-26.893581422014282</v>
      </c>
      <c r="D15">
        <v>633.875</v>
      </c>
      <c r="E15">
        <f t="shared" si="0"/>
        <v>554.37199999999996</v>
      </c>
      <c r="F15">
        <v>0</v>
      </c>
      <c r="G15">
        <v>0</v>
      </c>
      <c r="H15">
        <v>0</v>
      </c>
      <c r="I15">
        <v>0</v>
      </c>
      <c r="J15">
        <v>0</v>
      </c>
      <c r="K15">
        <v>554.37199999999996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1"/>
        <v>79.503000000000043</v>
      </c>
    </row>
    <row r="16" spans="1:23">
      <c r="A16" s="8">
        <v>12723</v>
      </c>
      <c r="B16" s="2">
        <v>127.01666054318713</v>
      </c>
      <c r="C16" s="2">
        <v>-31.583339143492136</v>
      </c>
      <c r="D16">
        <v>130.011</v>
      </c>
      <c r="E16">
        <f t="shared" si="0"/>
        <v>122.691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122.691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1"/>
        <v>7.3199999999999932</v>
      </c>
    </row>
    <row r="17" spans="1:23">
      <c r="A17" s="8">
        <v>12725</v>
      </c>
      <c r="B17" s="2">
        <v>126.73332634405332</v>
      </c>
      <c r="C17" s="2">
        <v>-31.850007684654891</v>
      </c>
      <c r="D17">
        <v>111.004</v>
      </c>
      <c r="E17">
        <f t="shared" si="0"/>
        <v>100.03700000000001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100.03700000000001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1"/>
        <v>10.966999999999999</v>
      </c>
    </row>
    <row r="18" spans="1:23">
      <c r="A18" s="8">
        <v>12743</v>
      </c>
      <c r="B18" s="2">
        <v>128.48332416590603</v>
      </c>
      <c r="C18" s="2">
        <v>-31.666673342579919</v>
      </c>
      <c r="D18">
        <v>61.977600000000002</v>
      </c>
      <c r="E18">
        <f t="shared" si="0"/>
        <v>103.158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103.158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1"/>
        <v>41.180399999999999</v>
      </c>
    </row>
    <row r="19" spans="1:23">
      <c r="A19" s="8">
        <v>12755</v>
      </c>
      <c r="B19" s="2">
        <v>128.48332947992145</v>
      </c>
      <c r="C19" s="2">
        <v>-31.700000876470028</v>
      </c>
      <c r="D19">
        <v>50.997599999999998</v>
      </c>
      <c r="E19">
        <f t="shared" si="0"/>
        <v>96.133300000000006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96.133300000000006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1"/>
        <v>45.135700000000007</v>
      </c>
    </row>
    <row r="20" spans="1:23">
      <c r="A20" s="8">
        <v>12759</v>
      </c>
      <c r="B20" s="2">
        <v>129.03333021296604</v>
      </c>
      <c r="C20" s="2">
        <v>-31.683341528055401</v>
      </c>
      <c r="D20">
        <v>2.0033799999999999E-3</v>
      </c>
      <c r="E20">
        <f t="shared" si="0"/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f t="shared" si="1"/>
        <v>2.0033799999999999E-3</v>
      </c>
    </row>
    <row r="21" spans="1:23">
      <c r="A21" s="8">
        <v>12762</v>
      </c>
      <c r="B21" s="2">
        <v>128.74998967975071</v>
      </c>
      <c r="C21" s="2">
        <v>-31.066674992483581</v>
      </c>
      <c r="D21">
        <v>162.01</v>
      </c>
      <c r="E21">
        <f t="shared" si="0"/>
        <v>144.76400000000001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144.76400000000001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f t="shared" si="1"/>
        <v>17.245999999999981</v>
      </c>
    </row>
    <row r="22" spans="1:23">
      <c r="A22" s="8">
        <v>12781</v>
      </c>
      <c r="B22" s="2">
        <v>127.79999638903517</v>
      </c>
      <c r="C22" s="2">
        <v>-31.766669713229184</v>
      </c>
      <c r="D22">
        <v>38.007899999999999</v>
      </c>
      <c r="E22">
        <f t="shared" si="0"/>
        <v>88.713800000000006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88.713800000000006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f t="shared" si="1"/>
        <v>50.705900000000007</v>
      </c>
    </row>
    <row r="23" spans="1:23">
      <c r="A23" s="8">
        <v>12783</v>
      </c>
      <c r="B23" s="2">
        <v>128.48333204168273</v>
      </c>
      <c r="C23" s="2">
        <v>-31.650000531334182</v>
      </c>
      <c r="D23">
        <v>66.012200000000007</v>
      </c>
      <c r="E23">
        <f t="shared" si="0"/>
        <v>101.81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101.81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f t="shared" si="1"/>
        <v>35.797799999999995</v>
      </c>
    </row>
    <row r="24" spans="1:23">
      <c r="A24" s="8">
        <v>12788</v>
      </c>
      <c r="B24" s="2">
        <v>126.03332736910907</v>
      </c>
      <c r="C24" s="2">
        <v>-32.050003190943805</v>
      </c>
      <c r="D24">
        <v>93.978200000000001</v>
      </c>
      <c r="E24">
        <f t="shared" si="0"/>
        <v>86.141599999999997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86.141599999999997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f t="shared" si="1"/>
        <v>7.8366000000000042</v>
      </c>
    </row>
    <row r="25" spans="1:23">
      <c r="A25" s="8">
        <v>12644</v>
      </c>
      <c r="B25" s="2">
        <v>129.91665993942641</v>
      </c>
      <c r="C25" s="2">
        <v>-31.500003674349536</v>
      </c>
      <c r="D25">
        <v>58.970599999999997</v>
      </c>
      <c r="E25">
        <f t="shared" si="0"/>
        <v>72.516000000000005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72.516000000000005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f t="shared" si="1"/>
        <v>13.545400000000008</v>
      </c>
    </row>
    <row r="26" spans="1:23">
      <c r="A26" s="8">
        <v>12713</v>
      </c>
      <c r="B26" s="2">
        <v>126.03332882986672</v>
      </c>
      <c r="C26" s="2">
        <v>-32.06667451851645</v>
      </c>
      <c r="D26">
        <v>93.980199999999996</v>
      </c>
      <c r="E26">
        <f t="shared" si="0"/>
        <v>81.631100000000004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81.631100000000004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f t="shared" si="1"/>
        <v>12.349099999999993</v>
      </c>
    </row>
    <row r="27" spans="1:23">
      <c r="A27" s="8">
        <v>12715</v>
      </c>
      <c r="B27" s="2">
        <v>126.18333304260975</v>
      </c>
      <c r="C27" s="2">
        <v>-32.100000062828983</v>
      </c>
      <c r="D27">
        <v>111.01</v>
      </c>
      <c r="E27">
        <f t="shared" si="0"/>
        <v>89.4255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89.4255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f t="shared" si="1"/>
        <v>21.584500000000006</v>
      </c>
    </row>
    <row r="28" spans="1:23">
      <c r="A28" s="8">
        <v>12718</v>
      </c>
      <c r="B28" s="2">
        <v>127.71666062389029</v>
      </c>
      <c r="C28" s="2">
        <v>-31.83333477294163</v>
      </c>
      <c r="D28">
        <v>73.996399999999994</v>
      </c>
      <c r="E28">
        <f t="shared" si="0"/>
        <v>84.982900000000001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84.982900000000001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f t="shared" si="1"/>
        <v>10.986500000000007</v>
      </c>
    </row>
    <row r="29" spans="1:23">
      <c r="A29" s="8">
        <v>12721</v>
      </c>
      <c r="B29" s="2">
        <v>127.43332620260664</v>
      </c>
      <c r="C29" s="2">
        <v>-31.650000943509845</v>
      </c>
      <c r="D29">
        <v>121.98699999999999</v>
      </c>
      <c r="E29">
        <f t="shared" si="0"/>
        <v>113.096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113.096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f t="shared" si="1"/>
        <v>8.8909999999999911</v>
      </c>
    </row>
    <row r="30" spans="1:23">
      <c r="A30" s="8">
        <v>12747</v>
      </c>
      <c r="B30" s="2">
        <v>127.18333042201293</v>
      </c>
      <c r="C30" s="2">
        <v>-31.433337192970523</v>
      </c>
      <c r="D30">
        <v>160.97999999999999</v>
      </c>
      <c r="E30">
        <f t="shared" si="0"/>
        <v>146.16999999999999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146.16999999999999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f t="shared" si="1"/>
        <v>14.810000000000002</v>
      </c>
    </row>
    <row r="31" spans="1:23">
      <c r="A31" s="8">
        <v>12750</v>
      </c>
      <c r="B31" s="2">
        <v>127.71666116878031</v>
      </c>
      <c r="C31" s="2">
        <v>-31.683340805906472</v>
      </c>
      <c r="D31">
        <v>67.002200000000002</v>
      </c>
      <c r="E31">
        <f t="shared" si="0"/>
        <v>106.471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106.471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f t="shared" si="1"/>
        <v>39.468800000000002</v>
      </c>
    </row>
    <row r="32" spans="1:23">
      <c r="A32" s="8">
        <v>12753</v>
      </c>
      <c r="B32" s="2">
        <v>128.48333202306591</v>
      </c>
      <c r="C32" s="2">
        <v>-31.716673600125294</v>
      </c>
      <c r="D32">
        <v>44.006300000000003</v>
      </c>
      <c r="E32">
        <f t="shared" si="0"/>
        <v>93.040099999999995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93.040099999999995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f t="shared" si="1"/>
        <v>49.033799999999992</v>
      </c>
    </row>
    <row r="33" spans="1:23">
      <c r="A33" s="8">
        <v>12768</v>
      </c>
      <c r="B33" s="2">
        <v>127.79999437308508</v>
      </c>
      <c r="C33" s="2">
        <v>-31.775005300990752</v>
      </c>
      <c r="D33">
        <v>38.008400000000002</v>
      </c>
      <c r="E33">
        <f t="shared" si="0"/>
        <v>87.092699999999994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87.092699999999994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f t="shared" si="1"/>
        <v>49.084299999999992</v>
      </c>
    </row>
    <row r="34" spans="1:23">
      <c r="A34" s="8">
        <v>12757</v>
      </c>
      <c r="B34" s="2">
        <v>129.09999897198571</v>
      </c>
      <c r="C34" s="2">
        <v>-31.533337490179314</v>
      </c>
      <c r="D34">
        <v>38.988799999999998</v>
      </c>
      <c r="E34">
        <f t="shared" si="0"/>
        <v>99.8262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99.8262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f t="shared" si="1"/>
        <v>60.837400000000002</v>
      </c>
    </row>
    <row r="35" spans="1:23">
      <c r="A35" s="8">
        <v>13234</v>
      </c>
      <c r="B35" s="2">
        <v>126.03332701761936</v>
      </c>
      <c r="C35" s="2">
        <v>-26.516675087613809</v>
      </c>
      <c r="D35">
        <v>481.01100000000002</v>
      </c>
      <c r="E35">
        <f t="shared" si="0"/>
        <v>486.81400000000002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486.81400000000002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f t="shared" si="1"/>
        <v>5.8029999999999973</v>
      </c>
    </row>
    <row r="36" spans="1:23">
      <c r="A36" s="8">
        <v>13236</v>
      </c>
      <c r="B36" s="2">
        <v>126.44999835605805</v>
      </c>
      <c r="C36" s="2">
        <v>-26.700005847136644</v>
      </c>
      <c r="D36">
        <v>510.005</v>
      </c>
      <c r="E36">
        <f t="shared" si="0"/>
        <v>499.42599999999999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499.42599999999999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f t="shared" si="1"/>
        <v>10.579000000000008</v>
      </c>
    </row>
    <row r="37" spans="1:23">
      <c r="A37" s="8">
        <v>12727</v>
      </c>
      <c r="B37" s="2">
        <v>127.03332457729357</v>
      </c>
      <c r="C37" s="2">
        <v>-31.966673172226823</v>
      </c>
      <c r="D37">
        <v>64.9803</v>
      </c>
      <c r="E37">
        <f t="shared" si="0"/>
        <v>20.342099999999999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20.342099999999999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f t="shared" si="1"/>
        <v>44.638199999999998</v>
      </c>
    </row>
    <row r="38" spans="1:23">
      <c r="A38" s="8">
        <v>12785</v>
      </c>
      <c r="B38" s="2">
        <v>127.03332876663272</v>
      </c>
      <c r="C38" s="2">
        <v>-31.983341211053684</v>
      </c>
      <c r="D38">
        <v>60.992699999999999</v>
      </c>
      <c r="E38">
        <f t="shared" si="0"/>
        <v>18.434899999999999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18.434899999999999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f t="shared" si="1"/>
        <v>42.5578</v>
      </c>
    </row>
    <row r="39" spans="1:23">
      <c r="A39" s="8">
        <v>13237</v>
      </c>
      <c r="B39" s="2">
        <v>126.46666461463113</v>
      </c>
      <c r="C39" s="2">
        <v>-27.200001860053746</v>
      </c>
      <c r="D39">
        <v>501.98700000000002</v>
      </c>
      <c r="E39">
        <f t="shared" si="0"/>
        <v>475.07600000000002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475.07600000000002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f t="shared" si="1"/>
        <v>26.911000000000001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045A-2778-4DCB-90DA-3C604DCD9458}">
  <dimension ref="A1:Y86"/>
  <sheetViews>
    <sheetView workbookViewId="0">
      <selection sqref="A1:IV65536"/>
    </sheetView>
  </sheetViews>
  <sheetFormatPr defaultColWidth="12.5703125" defaultRowHeight="15.75" customHeight="1"/>
  <cols>
    <col min="1" max="1" width="12.5703125" customWidth="1"/>
    <col min="2" max="2" width="9.140625" customWidth="1"/>
    <col min="3" max="5" width="12.5703125" customWidth="1"/>
    <col min="6" max="7" width="9.140625" customWidth="1"/>
    <col min="8" max="24" width="0" hidden="1" customWidth="1"/>
  </cols>
  <sheetData>
    <row r="1" spans="1:25" ht="12.75">
      <c r="A1" s="1" t="s">
        <v>0</v>
      </c>
      <c r="D1" t="str">
        <f>FossilMiddens!I1</f>
        <v>Longitude</v>
      </c>
      <c r="E1" t="str">
        <f>FossilMiddens!H1</f>
        <v>Latitude</v>
      </c>
      <c r="F1" t="s">
        <v>162</v>
      </c>
      <c r="G1" t="s">
        <v>163</v>
      </c>
      <c r="R1" t="s">
        <v>164</v>
      </c>
      <c r="Y1" t="s">
        <v>164</v>
      </c>
    </row>
    <row r="2" spans="1:25" ht="15.75" customHeight="1">
      <c r="A2" s="12" t="s">
        <v>165</v>
      </c>
      <c r="B2" t="s">
        <v>166</v>
      </c>
      <c r="C2" s="12" t="s">
        <v>167</v>
      </c>
      <c r="D2">
        <v>112.95</v>
      </c>
      <c r="E2" s="5">
        <v>-25.75</v>
      </c>
      <c r="F2">
        <v>0</v>
      </c>
      <c r="G2">
        <f>SUM(H2:X2)</f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f>ABS(F2-G2)</f>
        <v>0</v>
      </c>
    </row>
    <row r="3" spans="1:25" ht="15.75" customHeight="1">
      <c r="A3" s="12" t="s">
        <v>165</v>
      </c>
      <c r="B3" t="s">
        <v>166</v>
      </c>
      <c r="C3" s="12" t="s">
        <v>167</v>
      </c>
      <c r="D3">
        <v>113.1</v>
      </c>
      <c r="E3" s="5">
        <v>-25.966999999999999</v>
      </c>
      <c r="F3">
        <v>41.523699999999998</v>
      </c>
      <c r="G3">
        <f t="shared" ref="G3:G66" si="0">SUM(H3:X3)</f>
        <v>98.988299999999995</v>
      </c>
      <c r="H3">
        <v>0</v>
      </c>
      <c r="I3">
        <v>0</v>
      </c>
      <c r="J3">
        <v>0</v>
      </c>
      <c r="K3">
        <v>98.988299999999995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 t="shared" ref="Y3:Y66" si="1">ABS(F3-G3)</f>
        <v>57.464599999999997</v>
      </c>
    </row>
    <row r="4" spans="1:25" ht="15.75" customHeight="1">
      <c r="A4" s="12" t="s">
        <v>165</v>
      </c>
      <c r="B4" t="s">
        <v>166</v>
      </c>
      <c r="C4" s="12" t="s">
        <v>167</v>
      </c>
      <c r="D4">
        <v>113.3</v>
      </c>
      <c r="E4" s="5">
        <v>-26.4</v>
      </c>
      <c r="F4">
        <v>0.98655700000000002</v>
      </c>
      <c r="G4">
        <f t="shared" si="0"/>
        <v>0.949936</v>
      </c>
      <c r="H4">
        <v>0</v>
      </c>
      <c r="I4">
        <v>0</v>
      </c>
      <c r="J4">
        <v>0</v>
      </c>
      <c r="K4">
        <v>0.949936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f t="shared" si="1"/>
        <v>3.6621000000000015E-2</v>
      </c>
    </row>
    <row r="5" spans="1:25" ht="15.75" customHeight="1">
      <c r="A5" s="12" t="s">
        <v>165</v>
      </c>
      <c r="B5" t="s">
        <v>166</v>
      </c>
      <c r="C5" s="12" t="s">
        <v>167</v>
      </c>
      <c r="D5">
        <v>113.43300000000001</v>
      </c>
      <c r="E5" s="5">
        <v>-24.117000000000001</v>
      </c>
      <c r="F5">
        <v>9.7082999999999995</v>
      </c>
      <c r="G5">
        <f t="shared" si="0"/>
        <v>22.6143</v>
      </c>
      <c r="H5">
        <v>0</v>
      </c>
      <c r="I5">
        <v>0</v>
      </c>
      <c r="J5">
        <v>0</v>
      </c>
      <c r="K5">
        <v>22.6143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 t="shared" si="1"/>
        <v>12.906000000000001</v>
      </c>
    </row>
    <row r="6" spans="1:25" ht="15.75" customHeight="1">
      <c r="A6" s="12" t="s">
        <v>165</v>
      </c>
      <c r="B6" t="s">
        <v>166</v>
      </c>
      <c r="C6" s="12" t="s">
        <v>167</v>
      </c>
      <c r="D6">
        <v>113.583</v>
      </c>
      <c r="E6" s="5">
        <v>-25.632999999999999</v>
      </c>
      <c r="F6">
        <v>0</v>
      </c>
      <c r="G6">
        <f t="shared" si="0"/>
        <v>0.19031899999999999</v>
      </c>
      <c r="H6">
        <v>0</v>
      </c>
      <c r="I6">
        <v>0</v>
      </c>
      <c r="J6">
        <v>0</v>
      </c>
      <c r="K6">
        <v>0.19031899999999999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 t="shared" si="1"/>
        <v>0.19031899999999999</v>
      </c>
    </row>
    <row r="7" spans="1:25" ht="15.75" customHeight="1">
      <c r="A7" s="12" t="s">
        <v>165</v>
      </c>
      <c r="B7" t="s">
        <v>166</v>
      </c>
      <c r="C7" s="12" t="s">
        <v>167</v>
      </c>
      <c r="D7">
        <v>113.68300000000001</v>
      </c>
      <c r="E7" s="5">
        <v>-26.6</v>
      </c>
      <c r="F7">
        <v>0</v>
      </c>
      <c r="G7">
        <f t="shared" si="0"/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si="1"/>
        <v>0</v>
      </c>
    </row>
    <row r="8" spans="1:25" ht="15.75" customHeight="1">
      <c r="A8" s="12" t="s">
        <v>165</v>
      </c>
      <c r="B8" t="s">
        <v>166</v>
      </c>
      <c r="C8" s="12" t="s">
        <v>167</v>
      </c>
      <c r="D8">
        <v>113.8</v>
      </c>
      <c r="E8" s="5">
        <v>-23.117000000000001</v>
      </c>
      <c r="F8">
        <v>11.149100000000001</v>
      </c>
      <c r="G8">
        <f t="shared" si="0"/>
        <v>9.9258199999999999</v>
      </c>
      <c r="H8">
        <v>9.9258199999999999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1"/>
        <v>1.2232800000000008</v>
      </c>
    </row>
    <row r="9" spans="1:25" ht="15.75" customHeight="1">
      <c r="A9" s="12" t="s">
        <v>165</v>
      </c>
      <c r="B9" t="s">
        <v>166</v>
      </c>
      <c r="C9" s="12" t="s">
        <v>167</v>
      </c>
      <c r="D9">
        <v>114.1</v>
      </c>
      <c r="E9" s="5">
        <v>-27.832999999999998</v>
      </c>
      <c r="F9">
        <v>10.8253</v>
      </c>
      <c r="G9">
        <f t="shared" si="0"/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1"/>
        <v>10.8253</v>
      </c>
    </row>
    <row r="10" spans="1:25" ht="15.75" customHeight="1">
      <c r="A10" s="12" t="s">
        <v>165</v>
      </c>
      <c r="B10" t="s">
        <v>166</v>
      </c>
      <c r="C10" s="12" t="s">
        <v>167</v>
      </c>
      <c r="D10">
        <v>114.283</v>
      </c>
      <c r="E10" s="5">
        <v>-25.983000000000001</v>
      </c>
      <c r="F10">
        <v>20.808700000000002</v>
      </c>
      <c r="G10">
        <f t="shared" si="0"/>
        <v>7.8993200000000003</v>
      </c>
      <c r="H10">
        <v>0</v>
      </c>
      <c r="I10">
        <v>0</v>
      </c>
      <c r="J10">
        <v>0</v>
      </c>
      <c r="K10">
        <v>7.8993200000000003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f t="shared" si="1"/>
        <v>12.909380000000002</v>
      </c>
    </row>
    <row r="11" spans="1:25" ht="15.75" customHeight="1">
      <c r="A11" s="12" t="s">
        <v>165</v>
      </c>
      <c r="B11" t="s">
        <v>166</v>
      </c>
      <c r="C11" s="12" t="s">
        <v>167</v>
      </c>
      <c r="D11">
        <v>115.617</v>
      </c>
      <c r="E11" s="5">
        <v>-28.117000000000001</v>
      </c>
      <c r="F11">
        <v>379.11500000000001</v>
      </c>
      <c r="G11">
        <f t="shared" si="0"/>
        <v>304.02600000000001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304.02600000000001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f t="shared" si="1"/>
        <v>75.088999999999999</v>
      </c>
    </row>
    <row r="12" spans="1:25" ht="15.75" customHeight="1">
      <c r="A12" s="12" t="s">
        <v>165</v>
      </c>
      <c r="B12" t="s">
        <v>166</v>
      </c>
      <c r="C12" s="12" t="s">
        <v>167</v>
      </c>
      <c r="D12">
        <v>117.18300000000001</v>
      </c>
      <c r="E12" s="5">
        <v>-28.132999999999999</v>
      </c>
      <c r="F12">
        <v>460.30200000000002</v>
      </c>
      <c r="G12">
        <f t="shared" si="0"/>
        <v>462.27100000000002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462.27100000000002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1"/>
        <v>1.9689999999999941</v>
      </c>
    </row>
    <row r="13" spans="1:25" ht="15.75" customHeight="1">
      <c r="A13" s="12" t="s">
        <v>165</v>
      </c>
      <c r="B13" t="s">
        <v>166</v>
      </c>
      <c r="C13" s="12" t="s">
        <v>167</v>
      </c>
      <c r="D13">
        <v>117.7</v>
      </c>
      <c r="E13" s="5">
        <v>-26.917000000000002</v>
      </c>
      <c r="F13">
        <v>634.78800000000001</v>
      </c>
      <c r="G13">
        <f t="shared" si="0"/>
        <v>537.68899999999996</v>
      </c>
      <c r="H13">
        <v>0</v>
      </c>
      <c r="I13">
        <v>0</v>
      </c>
      <c r="J13">
        <v>0</v>
      </c>
      <c r="K13">
        <v>537.68899999999996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f t="shared" si="1"/>
        <v>97.099000000000046</v>
      </c>
    </row>
    <row r="14" spans="1:25" ht="15.75" customHeight="1">
      <c r="A14" s="12" t="s">
        <v>165</v>
      </c>
      <c r="B14" t="s">
        <v>166</v>
      </c>
      <c r="C14" s="12" t="s">
        <v>167</v>
      </c>
      <c r="D14">
        <v>118.31699999999999</v>
      </c>
      <c r="E14" s="5">
        <v>-29.016999999999999</v>
      </c>
      <c r="F14">
        <v>432.97</v>
      </c>
      <c r="G14">
        <f t="shared" si="0"/>
        <v>425.34399999999999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425.34399999999999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f t="shared" si="1"/>
        <v>7.6260000000000332</v>
      </c>
    </row>
    <row r="15" spans="1:25" ht="15.75" customHeight="1">
      <c r="A15" s="12" t="s">
        <v>165</v>
      </c>
      <c r="B15" t="s">
        <v>166</v>
      </c>
      <c r="C15" s="12" t="s">
        <v>167</v>
      </c>
      <c r="D15">
        <v>119.367</v>
      </c>
      <c r="E15" s="5">
        <v>-29.367000000000001</v>
      </c>
      <c r="F15">
        <v>449.91899999999998</v>
      </c>
      <c r="G15">
        <f t="shared" si="0"/>
        <v>440.62099999999998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440.62099999999998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f t="shared" si="1"/>
        <v>9.2980000000000018</v>
      </c>
    </row>
    <row r="16" spans="1:25" ht="15.75" customHeight="1">
      <c r="A16" s="12" t="s">
        <v>165</v>
      </c>
      <c r="B16" t="s">
        <v>166</v>
      </c>
      <c r="C16" s="12" t="s">
        <v>167</v>
      </c>
      <c r="D16">
        <v>120.3</v>
      </c>
      <c r="E16" s="5">
        <v>-28.117000000000001</v>
      </c>
      <c r="F16">
        <v>530.9</v>
      </c>
      <c r="G16">
        <f t="shared" si="0"/>
        <v>491.04199999999997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491.04199999999997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f t="shared" si="1"/>
        <v>39.858000000000004</v>
      </c>
    </row>
    <row r="17" spans="1:25" ht="15.75" customHeight="1">
      <c r="A17" s="12" t="s">
        <v>165</v>
      </c>
      <c r="B17" t="s">
        <v>166</v>
      </c>
      <c r="C17" s="12" t="s">
        <v>167</v>
      </c>
      <c r="D17">
        <v>121.31699999999999</v>
      </c>
      <c r="E17" s="5">
        <v>-30.9</v>
      </c>
      <c r="F17">
        <v>494.91699999999997</v>
      </c>
      <c r="G17">
        <f t="shared" si="0"/>
        <v>352.93900000000002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352.93900000000002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f t="shared" si="1"/>
        <v>141.97799999999995</v>
      </c>
    </row>
    <row r="18" spans="1:25" ht="15.75" customHeight="1">
      <c r="A18" s="12" t="s">
        <v>165</v>
      </c>
      <c r="B18" t="s">
        <v>166</v>
      </c>
      <c r="C18" s="12" t="s">
        <v>167</v>
      </c>
      <c r="D18">
        <v>121.633</v>
      </c>
      <c r="E18" s="5">
        <v>-29.516999999999999</v>
      </c>
      <c r="F18">
        <v>398.95699999999999</v>
      </c>
      <c r="G18">
        <f t="shared" si="0"/>
        <v>454.35199999999998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454.35199999999998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f t="shared" si="1"/>
        <v>55.394999999999982</v>
      </c>
    </row>
    <row r="19" spans="1:25" ht="15.75" customHeight="1">
      <c r="A19" s="6">
        <v>12708</v>
      </c>
      <c r="B19" t="s">
        <v>168</v>
      </c>
      <c r="C19" s="41" t="s">
        <v>167</v>
      </c>
      <c r="D19" s="2">
        <v>125.33332500009357</v>
      </c>
      <c r="E19" s="2">
        <v>-31.066672912338699</v>
      </c>
      <c r="F19">
        <v>179.98</v>
      </c>
      <c r="G19">
        <f t="shared" si="0"/>
        <v>174.398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174.398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f t="shared" si="1"/>
        <v>5.5819999999999936</v>
      </c>
    </row>
    <row r="20" spans="1:25" ht="15.75" customHeight="1">
      <c r="A20" s="6">
        <v>12787</v>
      </c>
      <c r="B20" t="s">
        <v>169</v>
      </c>
      <c r="C20" s="41" t="s">
        <v>167</v>
      </c>
      <c r="D20" s="2">
        <v>125.86665715174163</v>
      </c>
      <c r="E20" s="2">
        <v>-31.983336964763954</v>
      </c>
      <c r="F20">
        <v>95.009699999999995</v>
      </c>
      <c r="G20">
        <f t="shared" si="0"/>
        <v>96.583699999999993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96.583699999999993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f t="shared" si="1"/>
        <v>1.5739999999999981</v>
      </c>
    </row>
    <row r="21" spans="1:25" ht="15.75" customHeight="1">
      <c r="A21" s="6">
        <v>12679</v>
      </c>
      <c r="B21" t="s">
        <v>170</v>
      </c>
      <c r="C21" s="41" t="s">
        <v>167</v>
      </c>
      <c r="D21" s="2">
        <v>125.88332589087337</v>
      </c>
      <c r="E21" s="2">
        <v>-32.216670195722415</v>
      </c>
      <c r="F21">
        <v>99.985399999999998</v>
      </c>
      <c r="G21">
        <f t="shared" si="0"/>
        <v>80.241200000000006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80.241200000000006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1"/>
        <v>19.744199999999992</v>
      </c>
    </row>
    <row r="22" spans="1:25" ht="15.75" customHeight="1">
      <c r="A22" s="6">
        <v>12739</v>
      </c>
      <c r="B22" t="s">
        <v>171</v>
      </c>
      <c r="C22" s="41" t="s">
        <v>167</v>
      </c>
      <c r="D22" s="2">
        <v>125.91666592057311</v>
      </c>
      <c r="E22" s="2">
        <v>-31.966669920192786</v>
      </c>
      <c r="F22">
        <v>93.978700000000003</v>
      </c>
      <c r="G22">
        <f t="shared" si="0"/>
        <v>98.885499999999993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98.885499999999993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f t="shared" si="1"/>
        <v>4.9067999999999898</v>
      </c>
    </row>
    <row r="23" spans="1:25" ht="15.75" customHeight="1">
      <c r="A23" s="3">
        <v>12789</v>
      </c>
      <c r="B23" t="s">
        <v>172</v>
      </c>
      <c r="C23" s="41" t="s">
        <v>167</v>
      </c>
      <c r="D23" s="2">
        <v>126.03332736910907</v>
      </c>
      <c r="E23" s="2">
        <v>-32.050003190943805</v>
      </c>
      <c r="F23">
        <v>93.978200000000001</v>
      </c>
      <c r="G23">
        <f t="shared" si="0"/>
        <v>86.141599999999997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86.141599999999997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f t="shared" si="1"/>
        <v>7.8366000000000042</v>
      </c>
    </row>
    <row r="24" spans="1:25" ht="15.75" customHeight="1">
      <c r="A24" s="3">
        <v>12714</v>
      </c>
      <c r="B24" t="s">
        <v>173</v>
      </c>
      <c r="C24" s="41" t="s">
        <v>167</v>
      </c>
      <c r="D24" s="2">
        <v>126.03332882986672</v>
      </c>
      <c r="E24" s="2">
        <v>-32.06667451851645</v>
      </c>
      <c r="F24">
        <v>93.980199999999996</v>
      </c>
      <c r="G24">
        <f t="shared" si="0"/>
        <v>81.631100000000004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81.631100000000004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f t="shared" si="1"/>
        <v>12.349099999999993</v>
      </c>
    </row>
    <row r="25" spans="1:25" ht="15.75" customHeight="1">
      <c r="A25" s="3">
        <v>12712</v>
      </c>
      <c r="B25" t="s">
        <v>174</v>
      </c>
      <c r="C25" s="41" t="s">
        <v>167</v>
      </c>
      <c r="D25" s="2">
        <v>126.18332362765844</v>
      </c>
      <c r="E25" s="2">
        <v>-32.033337926136866</v>
      </c>
      <c r="F25">
        <v>102.003</v>
      </c>
      <c r="G25">
        <f t="shared" si="0"/>
        <v>90.536799999999999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90.536799999999999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f t="shared" si="1"/>
        <v>11.466200000000001</v>
      </c>
    </row>
    <row r="26" spans="1:25" ht="15.75" customHeight="1">
      <c r="A26" s="3">
        <v>12740</v>
      </c>
      <c r="B26" t="s">
        <v>175</v>
      </c>
      <c r="C26" s="41" t="s">
        <v>167</v>
      </c>
      <c r="D26" s="2">
        <v>126.49998998843144</v>
      </c>
      <c r="E26" s="2">
        <v>-31.983339645420322</v>
      </c>
      <c r="F26">
        <v>83.984099999999998</v>
      </c>
      <c r="G26">
        <f t="shared" si="0"/>
        <v>83.521600000000007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83.521600000000007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f t="shared" si="1"/>
        <v>0.46249999999999147</v>
      </c>
    </row>
    <row r="27" spans="1:25" ht="15.75" customHeight="1">
      <c r="A27" s="3">
        <v>12726</v>
      </c>
      <c r="B27" t="s">
        <v>176</v>
      </c>
      <c r="C27" s="41" t="s">
        <v>167</v>
      </c>
      <c r="D27" s="2">
        <v>126.73332634405332</v>
      </c>
      <c r="E27" s="2">
        <v>-31.850007684654891</v>
      </c>
      <c r="F27">
        <v>111.004</v>
      </c>
      <c r="G27">
        <f t="shared" si="0"/>
        <v>100.03700000000001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100.03700000000001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f t="shared" si="1"/>
        <v>10.966999999999999</v>
      </c>
    </row>
    <row r="28" spans="1:25" ht="15.75" customHeight="1">
      <c r="A28" s="3">
        <v>12720</v>
      </c>
      <c r="B28" t="s">
        <v>177</v>
      </c>
      <c r="C28" s="41" t="s">
        <v>167</v>
      </c>
      <c r="D28" s="2">
        <v>126.79999323297812</v>
      </c>
      <c r="E28" s="2">
        <v>-31.033333942613755</v>
      </c>
      <c r="F28">
        <v>178.994</v>
      </c>
      <c r="G28">
        <f t="shared" si="0"/>
        <v>176.60400000000001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176.60400000000001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f t="shared" si="1"/>
        <v>2.3899999999999864</v>
      </c>
    </row>
    <row r="29" spans="1:25" ht="15.75" customHeight="1">
      <c r="A29" s="3">
        <v>12724</v>
      </c>
      <c r="B29" t="s">
        <v>178</v>
      </c>
      <c r="C29" s="41" t="s">
        <v>167</v>
      </c>
      <c r="D29" s="2">
        <v>127.01666131600247</v>
      </c>
      <c r="E29" s="2">
        <v>-31.750007232882069</v>
      </c>
      <c r="F29">
        <v>102.988</v>
      </c>
      <c r="G29">
        <f t="shared" si="0"/>
        <v>111.7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111.7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f t="shared" si="1"/>
        <v>8.7120000000000033</v>
      </c>
    </row>
    <row r="30" spans="1:25" ht="15.75" customHeight="1">
      <c r="A30" s="3">
        <v>12728</v>
      </c>
      <c r="B30" t="s">
        <v>179</v>
      </c>
      <c r="C30" s="41" t="s">
        <v>167</v>
      </c>
      <c r="D30" s="2">
        <v>127.03332457729357</v>
      </c>
      <c r="E30" s="2">
        <v>-31.966673172226823</v>
      </c>
      <c r="F30">
        <v>64.9803</v>
      </c>
      <c r="G30">
        <f t="shared" si="0"/>
        <v>20.342099999999999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20.342099999999999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f t="shared" si="1"/>
        <v>44.638199999999998</v>
      </c>
    </row>
    <row r="31" spans="1:25" ht="15.75" customHeight="1">
      <c r="A31" s="3">
        <v>12786</v>
      </c>
      <c r="B31" t="s">
        <v>180</v>
      </c>
      <c r="C31" s="41" t="s">
        <v>167</v>
      </c>
      <c r="D31" s="2">
        <v>127.03332876663272</v>
      </c>
      <c r="E31" s="2">
        <v>-31.983341211053684</v>
      </c>
      <c r="F31">
        <v>60.992699999999999</v>
      </c>
      <c r="G31">
        <f t="shared" si="0"/>
        <v>18.434899999999999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18.434899999999999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f t="shared" si="1"/>
        <v>42.5578</v>
      </c>
    </row>
    <row r="32" spans="1:25" ht="15.75" customHeight="1">
      <c r="A32" s="3">
        <v>12742</v>
      </c>
      <c r="B32" t="s">
        <v>181</v>
      </c>
      <c r="C32" s="41" t="s">
        <v>167</v>
      </c>
      <c r="D32" s="2">
        <v>127.06665795023805</v>
      </c>
      <c r="E32" s="2">
        <v>-30.966666761633562</v>
      </c>
      <c r="F32">
        <v>188.989</v>
      </c>
      <c r="G32">
        <f t="shared" si="0"/>
        <v>179.143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179.143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f t="shared" si="1"/>
        <v>9.8460000000000036</v>
      </c>
    </row>
    <row r="33" spans="1:25" ht="15.75" customHeight="1">
      <c r="A33" s="3">
        <v>12748</v>
      </c>
      <c r="B33" t="s">
        <v>182</v>
      </c>
      <c r="C33" s="41" t="s">
        <v>167</v>
      </c>
      <c r="D33" s="2">
        <v>127.18333042201293</v>
      </c>
      <c r="E33" s="2">
        <v>-31.433337192970523</v>
      </c>
      <c r="F33">
        <v>160.97999999999999</v>
      </c>
      <c r="G33">
        <f t="shared" si="0"/>
        <v>146.16999999999999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146.16999999999999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f t="shared" si="1"/>
        <v>14.810000000000002</v>
      </c>
    </row>
    <row r="34" spans="1:25" ht="15.75" customHeight="1">
      <c r="A34" s="3">
        <v>12765</v>
      </c>
      <c r="B34" t="s">
        <v>183</v>
      </c>
      <c r="C34" s="41" t="s">
        <v>167</v>
      </c>
      <c r="D34" s="2">
        <v>127.23332893757382</v>
      </c>
      <c r="E34" s="2">
        <v>-31.6666743406835</v>
      </c>
      <c r="F34">
        <v>124.004</v>
      </c>
      <c r="G34">
        <f t="shared" si="0"/>
        <v>119.94499999999999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119.94499999999999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f t="shared" si="1"/>
        <v>4.0590000000000117</v>
      </c>
    </row>
    <row r="35" spans="1:25" ht="15.75" customHeight="1">
      <c r="A35" s="3">
        <v>12764</v>
      </c>
      <c r="B35" t="s">
        <v>184</v>
      </c>
      <c r="C35" s="41" t="s">
        <v>167</v>
      </c>
      <c r="D35" s="2">
        <v>127.23333085592573</v>
      </c>
      <c r="E35" s="2">
        <v>-31.716673802217635</v>
      </c>
      <c r="F35">
        <v>111.992</v>
      </c>
      <c r="G35">
        <f t="shared" si="0"/>
        <v>114.884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114.884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f t="shared" si="1"/>
        <v>2.8919999999999959</v>
      </c>
    </row>
    <row r="36" spans="1:25" ht="15.75" customHeight="1">
      <c r="A36" s="3">
        <v>12741</v>
      </c>
      <c r="B36" t="s">
        <v>185</v>
      </c>
      <c r="C36" s="41" t="s">
        <v>167</v>
      </c>
      <c r="D36" s="2">
        <v>127.2333316265471</v>
      </c>
      <c r="E36" s="2">
        <v>-31.566674443270795</v>
      </c>
      <c r="F36">
        <v>146.006</v>
      </c>
      <c r="G36">
        <f t="shared" si="0"/>
        <v>126.19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126.19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f t="shared" si="1"/>
        <v>19.816000000000003</v>
      </c>
    </row>
    <row r="37" spans="1:25" ht="15.75" customHeight="1">
      <c r="A37" s="3">
        <v>12696</v>
      </c>
      <c r="B37" t="s">
        <v>186</v>
      </c>
      <c r="C37" s="41" t="s">
        <v>167</v>
      </c>
      <c r="D37" s="2">
        <v>127.43332620260664</v>
      </c>
      <c r="E37" s="2">
        <v>-31.650000943509845</v>
      </c>
      <c r="F37">
        <v>121.98699999999999</v>
      </c>
      <c r="G37">
        <f t="shared" si="0"/>
        <v>113.096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113.096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f t="shared" si="1"/>
        <v>8.8909999999999911</v>
      </c>
    </row>
    <row r="38" spans="1:25" ht="15.75" customHeight="1">
      <c r="A38" s="3">
        <v>12722</v>
      </c>
      <c r="B38" t="s">
        <v>187</v>
      </c>
      <c r="C38" s="41" t="s">
        <v>167</v>
      </c>
      <c r="D38" s="2">
        <v>127.43332620260664</v>
      </c>
      <c r="E38" s="2">
        <v>-31.650000943509845</v>
      </c>
      <c r="F38">
        <v>121.98699999999999</v>
      </c>
      <c r="G38">
        <f t="shared" si="0"/>
        <v>113.096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113.096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f t="shared" si="1"/>
        <v>8.8909999999999911</v>
      </c>
    </row>
    <row r="39" spans="1:25" ht="15.75" customHeight="1">
      <c r="A39" s="3">
        <v>12719</v>
      </c>
      <c r="B39" t="s">
        <v>188</v>
      </c>
      <c r="C39" s="41" t="s">
        <v>167</v>
      </c>
      <c r="D39" s="2">
        <v>127.71666062389029</v>
      </c>
      <c r="E39" s="2">
        <v>-31.83333477294163</v>
      </c>
      <c r="F39">
        <v>73.996399999999994</v>
      </c>
      <c r="G39">
        <f t="shared" si="0"/>
        <v>84.982900000000001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84.982900000000001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f t="shared" si="1"/>
        <v>10.986500000000007</v>
      </c>
    </row>
    <row r="40" spans="1:25" ht="15.75" customHeight="1">
      <c r="A40" s="3">
        <v>12751</v>
      </c>
      <c r="B40" t="s">
        <v>189</v>
      </c>
      <c r="C40" s="41" t="s">
        <v>167</v>
      </c>
      <c r="D40" s="2">
        <v>127.71666116878031</v>
      </c>
      <c r="E40" s="2">
        <v>-31.683340805906472</v>
      </c>
      <c r="F40">
        <v>67.002200000000002</v>
      </c>
      <c r="G40">
        <f t="shared" si="0"/>
        <v>106.471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106.471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f t="shared" si="1"/>
        <v>39.468800000000002</v>
      </c>
    </row>
    <row r="41" spans="1:25" ht="15.75" customHeight="1">
      <c r="A41" s="3">
        <v>12769</v>
      </c>
      <c r="B41" t="s">
        <v>190</v>
      </c>
      <c r="C41" s="41" t="s">
        <v>167</v>
      </c>
      <c r="D41" s="2">
        <v>127.79999437308508</v>
      </c>
      <c r="E41" s="2">
        <v>-31.775005300990752</v>
      </c>
      <c r="F41">
        <v>38.008400000000002</v>
      </c>
      <c r="G41">
        <f t="shared" si="0"/>
        <v>87.092699999999994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87.092699999999994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f t="shared" si="1"/>
        <v>49.084299999999992</v>
      </c>
    </row>
    <row r="42" spans="1:25" ht="15.75" customHeight="1">
      <c r="A42" s="3">
        <v>12717</v>
      </c>
      <c r="B42" t="s">
        <v>191</v>
      </c>
      <c r="C42" s="41" t="s">
        <v>167</v>
      </c>
      <c r="D42" s="2">
        <v>127.79999638903517</v>
      </c>
      <c r="E42" s="2">
        <v>-31.766669713229184</v>
      </c>
      <c r="F42">
        <v>38.007899999999999</v>
      </c>
      <c r="G42">
        <f t="shared" si="0"/>
        <v>88.713800000000006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88.713800000000006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f t="shared" si="1"/>
        <v>50.705900000000007</v>
      </c>
    </row>
    <row r="43" spans="1:25" ht="15.75" customHeight="1">
      <c r="A43" s="3">
        <v>12782</v>
      </c>
      <c r="B43" t="s">
        <v>192</v>
      </c>
      <c r="C43" s="41" t="s">
        <v>167</v>
      </c>
      <c r="D43" s="2">
        <v>127.79999638903517</v>
      </c>
      <c r="E43" s="2">
        <v>-31.766669713229184</v>
      </c>
      <c r="F43">
        <v>38.007899999999999</v>
      </c>
      <c r="G43">
        <f t="shared" si="0"/>
        <v>88.713800000000006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88.713800000000006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f t="shared" si="1"/>
        <v>50.705900000000007</v>
      </c>
    </row>
    <row r="44" spans="1:25" ht="15.75" customHeight="1">
      <c r="A44" s="3">
        <v>12745</v>
      </c>
      <c r="B44" t="s">
        <v>193</v>
      </c>
      <c r="C44" s="41" t="s">
        <v>167</v>
      </c>
      <c r="D44" s="2">
        <v>127.86665757613356</v>
      </c>
      <c r="E44" s="2">
        <v>-31.433338723018377</v>
      </c>
      <c r="F44">
        <v>63.997500000000002</v>
      </c>
      <c r="G44">
        <f t="shared" si="0"/>
        <v>124.896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124.896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f t="shared" si="1"/>
        <v>60.898499999999999</v>
      </c>
    </row>
    <row r="45" spans="1:25" ht="15.75" customHeight="1">
      <c r="A45" s="3">
        <v>12761</v>
      </c>
      <c r="B45" t="s">
        <v>194</v>
      </c>
      <c r="C45" s="41" t="s">
        <v>167</v>
      </c>
      <c r="D45" s="2">
        <v>127.94999560222529</v>
      </c>
      <c r="E45" s="2">
        <v>-31.166670780983626</v>
      </c>
      <c r="F45">
        <v>91.018799999999999</v>
      </c>
      <c r="G45">
        <f t="shared" si="0"/>
        <v>153.97800000000001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153.97800000000001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f t="shared" si="1"/>
        <v>62.95920000000001</v>
      </c>
    </row>
    <row r="46" spans="1:25" ht="15.75" customHeight="1">
      <c r="A46" s="3">
        <v>12744</v>
      </c>
      <c r="B46" t="s">
        <v>195</v>
      </c>
      <c r="C46" s="41" t="s">
        <v>167</v>
      </c>
      <c r="D46" s="2">
        <v>128.48332416590603</v>
      </c>
      <c r="E46" s="2">
        <v>-31.666673342579919</v>
      </c>
      <c r="F46">
        <v>61.977600000000002</v>
      </c>
      <c r="G46">
        <f t="shared" si="0"/>
        <v>103.158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103.158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f t="shared" si="1"/>
        <v>41.180399999999999</v>
      </c>
    </row>
    <row r="47" spans="1:25" ht="15.75" customHeight="1">
      <c r="A47" s="3">
        <v>12746</v>
      </c>
      <c r="B47" t="s">
        <v>196</v>
      </c>
      <c r="C47" s="41" t="s">
        <v>167</v>
      </c>
      <c r="D47" s="2">
        <v>128.48332778339648</v>
      </c>
      <c r="E47" s="2">
        <v>-31.250001740621826</v>
      </c>
      <c r="F47">
        <v>150.98599999999999</v>
      </c>
      <c r="G47">
        <f t="shared" si="0"/>
        <v>132.58500000000001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132.58500000000001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f t="shared" si="1"/>
        <v>18.400999999999982</v>
      </c>
    </row>
    <row r="48" spans="1:25" ht="15.75" customHeight="1">
      <c r="A48" s="3">
        <v>12756</v>
      </c>
      <c r="B48" t="s">
        <v>197</v>
      </c>
      <c r="C48" s="41" t="s">
        <v>167</v>
      </c>
      <c r="D48" s="2">
        <v>128.48332947992145</v>
      </c>
      <c r="E48" s="2">
        <v>-31.700000876470028</v>
      </c>
      <c r="F48">
        <v>50.997599999999998</v>
      </c>
      <c r="G48">
        <f t="shared" si="0"/>
        <v>96.133300000000006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96.133300000000006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f t="shared" si="1"/>
        <v>45.135700000000007</v>
      </c>
    </row>
    <row r="49" spans="1:25" ht="15.75" customHeight="1">
      <c r="A49" s="3">
        <v>12754</v>
      </c>
      <c r="B49" t="s">
        <v>198</v>
      </c>
      <c r="C49" s="41" t="s">
        <v>167</v>
      </c>
      <c r="D49" s="2">
        <v>128.48333202306591</v>
      </c>
      <c r="E49" s="2">
        <v>-31.716673600125294</v>
      </c>
      <c r="F49">
        <v>44.006300000000003</v>
      </c>
      <c r="G49">
        <f t="shared" si="0"/>
        <v>93.040099999999995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93.040099999999995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f t="shared" si="1"/>
        <v>49.033799999999992</v>
      </c>
    </row>
    <row r="50" spans="1:25" ht="15.75" customHeight="1">
      <c r="A50" s="3">
        <v>12784</v>
      </c>
      <c r="B50" t="s">
        <v>199</v>
      </c>
      <c r="C50" s="41" t="s">
        <v>167</v>
      </c>
      <c r="D50" s="2">
        <v>128.48333204168273</v>
      </c>
      <c r="E50" s="2">
        <v>-31.650000531334182</v>
      </c>
      <c r="F50">
        <v>66.012200000000007</v>
      </c>
      <c r="G50">
        <f t="shared" si="0"/>
        <v>101.81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101.81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f t="shared" si="1"/>
        <v>35.797799999999995</v>
      </c>
    </row>
    <row r="51" spans="1:25" ht="15.75" customHeight="1">
      <c r="A51" s="3">
        <v>12752</v>
      </c>
      <c r="B51" t="s">
        <v>200</v>
      </c>
      <c r="C51" s="41" t="s">
        <v>167</v>
      </c>
      <c r="D51" s="2">
        <v>128.58333146886292</v>
      </c>
      <c r="E51" s="2">
        <v>-31.400005043494403</v>
      </c>
      <c r="F51">
        <v>123.01</v>
      </c>
      <c r="G51">
        <f t="shared" si="0"/>
        <v>129.36099999999999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129.36099999999999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f t="shared" si="1"/>
        <v>6.3509999999999849</v>
      </c>
    </row>
    <row r="52" spans="1:25" ht="15.75" customHeight="1">
      <c r="A52" s="3">
        <v>13238</v>
      </c>
      <c r="B52" t="s">
        <v>201</v>
      </c>
      <c r="C52" s="41" t="s">
        <v>167</v>
      </c>
      <c r="D52" s="2">
        <v>128.66666143104169</v>
      </c>
      <c r="E52" s="2">
        <v>-30.483338101848702</v>
      </c>
      <c r="F52">
        <v>181.01</v>
      </c>
      <c r="G52">
        <f t="shared" si="0"/>
        <v>176.83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176.83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f t="shared" si="1"/>
        <v>4.1799999999999784</v>
      </c>
    </row>
    <row r="53" spans="1:25" ht="15.75" customHeight="1">
      <c r="A53" s="12" t="s">
        <v>165</v>
      </c>
      <c r="B53" t="s">
        <v>166</v>
      </c>
      <c r="C53" s="12" t="s">
        <v>167</v>
      </c>
      <c r="D53">
        <v>128.667</v>
      </c>
      <c r="E53" s="5">
        <v>-30.483000000000001</v>
      </c>
      <c r="F53">
        <v>180.97399999999999</v>
      </c>
      <c r="G53">
        <f t="shared" si="0"/>
        <v>176.89400000000001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176.89400000000001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f t="shared" si="1"/>
        <v>4.0799999999999841</v>
      </c>
    </row>
    <row r="54" spans="1:25" ht="15.75" customHeight="1">
      <c r="A54" s="3">
        <v>12763</v>
      </c>
      <c r="B54" t="s">
        <v>202</v>
      </c>
      <c r="C54" s="41" t="s">
        <v>167</v>
      </c>
      <c r="D54" s="2">
        <v>128.74998967975071</v>
      </c>
      <c r="E54" s="2">
        <v>-31.066674992483581</v>
      </c>
      <c r="F54">
        <v>162.01</v>
      </c>
      <c r="G54">
        <f t="shared" si="0"/>
        <v>144.76400000000001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144.76400000000001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f t="shared" si="1"/>
        <v>17.245999999999981</v>
      </c>
    </row>
    <row r="55" spans="1:25" ht="15.75" customHeight="1">
      <c r="A55" s="3">
        <v>12760</v>
      </c>
      <c r="B55" t="s">
        <v>203</v>
      </c>
      <c r="C55" s="41" t="s">
        <v>167</v>
      </c>
      <c r="D55" s="2">
        <v>129.03333021296604</v>
      </c>
      <c r="E55" s="2">
        <v>-31.683341528055401</v>
      </c>
      <c r="F55">
        <v>2.0033799999999999E-3</v>
      </c>
      <c r="G55">
        <f t="shared" si="0"/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f t="shared" si="1"/>
        <v>2.0033799999999999E-3</v>
      </c>
    </row>
    <row r="56" spans="1:25" ht="15.75" customHeight="1">
      <c r="A56" s="3">
        <v>12758</v>
      </c>
      <c r="B56" t="s">
        <v>204</v>
      </c>
      <c r="C56" s="41" t="s">
        <v>167</v>
      </c>
      <c r="D56" s="2">
        <v>129.09999897198571</v>
      </c>
      <c r="E56" s="2">
        <v>-31.533337490179314</v>
      </c>
      <c r="F56">
        <v>38.988799999999998</v>
      </c>
      <c r="G56">
        <f t="shared" si="0"/>
        <v>99.8262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99.8262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f t="shared" si="1"/>
        <v>60.837400000000002</v>
      </c>
    </row>
    <row r="57" spans="1:25" ht="15.75" customHeight="1">
      <c r="A57" s="3">
        <v>12677</v>
      </c>
      <c r="B57" t="s">
        <v>205</v>
      </c>
      <c r="C57" s="41" t="s">
        <v>167</v>
      </c>
      <c r="D57" s="2">
        <v>129.24999737521688</v>
      </c>
      <c r="E57" s="2">
        <v>-29.750005231182612</v>
      </c>
      <c r="F57">
        <v>174.02199999999999</v>
      </c>
      <c r="G57">
        <f t="shared" si="0"/>
        <v>195.96700000000001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195.96700000000001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f t="shared" si="1"/>
        <v>21.945000000000022</v>
      </c>
    </row>
    <row r="58" spans="1:25" ht="15.75" customHeight="1">
      <c r="A58" s="3">
        <v>12646</v>
      </c>
      <c r="B58" t="s">
        <v>206</v>
      </c>
      <c r="C58" s="41" t="s">
        <v>167</v>
      </c>
      <c r="D58" s="2">
        <v>129.83332690118078</v>
      </c>
      <c r="E58" s="2">
        <v>-31.400003850662603</v>
      </c>
      <c r="F58">
        <v>96.981099999999998</v>
      </c>
      <c r="G58">
        <f t="shared" si="0"/>
        <v>93.471800000000002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93.471800000000002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f t="shared" si="1"/>
        <v>3.5092999999999961</v>
      </c>
    </row>
    <row r="59" spans="1:25" ht="15.75" customHeight="1">
      <c r="A59" s="3">
        <v>12645</v>
      </c>
      <c r="B59" t="s">
        <v>207</v>
      </c>
      <c r="C59" s="41" t="s">
        <v>167</v>
      </c>
      <c r="D59" s="2">
        <v>129.91665993942641</v>
      </c>
      <c r="E59" s="2">
        <v>-31.500003674349536</v>
      </c>
      <c r="F59">
        <v>58.970599999999997</v>
      </c>
      <c r="G59">
        <f t="shared" si="0"/>
        <v>72.516000000000005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72.516000000000005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f t="shared" si="1"/>
        <v>13.545400000000008</v>
      </c>
    </row>
    <row r="60" spans="1:25" ht="15.75" customHeight="1">
      <c r="A60" s="3">
        <v>12767</v>
      </c>
      <c r="B60" t="s">
        <v>208</v>
      </c>
      <c r="C60" s="41" t="s">
        <v>167</v>
      </c>
      <c r="D60" s="2">
        <v>130.96666169629589</v>
      </c>
      <c r="E60" s="2">
        <v>-30.550008029157617</v>
      </c>
      <c r="F60">
        <v>101.01</v>
      </c>
      <c r="G60">
        <f t="shared" si="0"/>
        <v>114.407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114.407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f t="shared" si="1"/>
        <v>13.396999999999991</v>
      </c>
    </row>
    <row r="61" spans="1:25" ht="15.75" customHeight="1">
      <c r="A61" s="3">
        <v>12689</v>
      </c>
      <c r="B61" t="s">
        <v>209</v>
      </c>
      <c r="C61" s="41" t="s">
        <v>167</v>
      </c>
      <c r="D61" s="2">
        <v>131.24999292928266</v>
      </c>
      <c r="E61" s="2">
        <v>-30.25000357260447</v>
      </c>
      <c r="F61">
        <v>223.98500000000001</v>
      </c>
      <c r="G61">
        <f t="shared" si="0"/>
        <v>103.792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103.792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f t="shared" si="1"/>
        <v>120.19300000000001</v>
      </c>
    </row>
    <row r="62" spans="1:25" ht="15.75" customHeight="1">
      <c r="A62" s="3">
        <v>12692</v>
      </c>
      <c r="B62" t="s">
        <v>210</v>
      </c>
      <c r="C62" s="41" t="s">
        <v>167</v>
      </c>
      <c r="D62" s="2">
        <v>131.24999365145518</v>
      </c>
      <c r="E62" s="2">
        <v>-30.583341422105857</v>
      </c>
      <c r="F62">
        <v>137.97999999999999</v>
      </c>
      <c r="G62">
        <f t="shared" si="0"/>
        <v>102.30200000000001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102.30200000000001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f t="shared" si="1"/>
        <v>35.677999999999983</v>
      </c>
    </row>
    <row r="63" spans="1:25" ht="15.75" customHeight="1">
      <c r="A63" s="3">
        <v>12693</v>
      </c>
      <c r="B63" t="s">
        <v>211</v>
      </c>
      <c r="C63" s="41" t="s">
        <v>167</v>
      </c>
      <c r="D63" s="2">
        <v>131.24999365145518</v>
      </c>
      <c r="E63" s="2">
        <v>-30.583341422105857</v>
      </c>
      <c r="F63">
        <v>137.97999999999999</v>
      </c>
      <c r="G63">
        <f t="shared" si="0"/>
        <v>102.30200000000001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102.30200000000001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f t="shared" si="1"/>
        <v>35.677999999999983</v>
      </c>
    </row>
    <row r="64" spans="1:25" ht="15.75" customHeight="1">
      <c r="A64" s="3">
        <v>12699</v>
      </c>
      <c r="B64" t="s">
        <v>212</v>
      </c>
      <c r="C64" s="41" t="s">
        <v>167</v>
      </c>
      <c r="D64" s="2">
        <v>131.24999365145518</v>
      </c>
      <c r="E64" s="2">
        <v>-30.583341422105857</v>
      </c>
      <c r="F64">
        <v>137.97999999999999</v>
      </c>
      <c r="G64">
        <f t="shared" si="0"/>
        <v>102.30200000000001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102.30200000000001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f t="shared" si="1"/>
        <v>35.677999999999983</v>
      </c>
    </row>
    <row r="65" spans="1:25" ht="15.75" customHeight="1">
      <c r="A65" s="3">
        <v>12766</v>
      </c>
      <c r="B65" t="s">
        <v>213</v>
      </c>
      <c r="C65" s="41" t="s">
        <v>167</v>
      </c>
      <c r="D65" s="2">
        <v>131.24999365145518</v>
      </c>
      <c r="E65" s="2">
        <v>-30.583341422105857</v>
      </c>
      <c r="F65">
        <v>137.97999999999999</v>
      </c>
      <c r="G65">
        <f t="shared" si="0"/>
        <v>102.30200000000001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102.30200000000001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f t="shared" si="1"/>
        <v>35.677999999999983</v>
      </c>
    </row>
    <row r="66" spans="1:25" ht="15.75" customHeight="1">
      <c r="A66" s="3">
        <v>12690</v>
      </c>
      <c r="B66" t="s">
        <v>214</v>
      </c>
      <c r="C66" s="41" t="s">
        <v>167</v>
      </c>
      <c r="D66" s="2">
        <v>131.66665895522669</v>
      </c>
      <c r="E66" s="2">
        <v>-30.450002674936943</v>
      </c>
      <c r="F66">
        <v>147.983</v>
      </c>
      <c r="G66">
        <f t="shared" si="0"/>
        <v>107.56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107.56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f t="shared" si="1"/>
        <v>40.423000000000002</v>
      </c>
    </row>
    <row r="67" spans="1:25" ht="15.75" customHeight="1">
      <c r="A67" s="3">
        <v>12691</v>
      </c>
      <c r="B67" t="s">
        <v>215</v>
      </c>
      <c r="C67" s="41" t="s">
        <v>167</v>
      </c>
      <c r="D67" s="2">
        <v>131.66665895522669</v>
      </c>
      <c r="E67" s="2">
        <v>-30.450002674936943</v>
      </c>
      <c r="F67">
        <v>147.983</v>
      </c>
      <c r="G67">
        <f t="shared" ref="G67:G86" si="2">SUM(H67:X67)</f>
        <v>107.56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107.56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f t="shared" ref="Y67:Y86" si="3">ABS(F67-G67)</f>
        <v>40.423000000000002</v>
      </c>
    </row>
    <row r="68" spans="1:25" ht="15.75" customHeight="1">
      <c r="A68" s="3">
        <v>12736</v>
      </c>
      <c r="B68" t="s">
        <v>216</v>
      </c>
      <c r="C68" s="41" t="s">
        <v>167</v>
      </c>
      <c r="D68" s="2">
        <v>131.66665895522669</v>
      </c>
      <c r="E68" s="2">
        <v>-30.450002674936943</v>
      </c>
      <c r="F68">
        <v>147.983</v>
      </c>
      <c r="G68">
        <f t="shared" si="2"/>
        <v>107.56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107.56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f t="shared" si="3"/>
        <v>40.423000000000002</v>
      </c>
    </row>
    <row r="69" spans="1:25" ht="15.75" customHeight="1">
      <c r="A69" s="3">
        <v>12873</v>
      </c>
      <c r="B69" t="s">
        <v>217</v>
      </c>
      <c r="C69" s="41" t="s">
        <v>167</v>
      </c>
      <c r="D69" s="2">
        <v>131.66666552269083</v>
      </c>
      <c r="E69" s="2">
        <v>-30.466669955720231</v>
      </c>
      <c r="F69">
        <v>143.99299999999999</v>
      </c>
      <c r="G69">
        <f t="shared" si="2"/>
        <v>103.879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103.879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f t="shared" si="3"/>
        <v>40.11399999999999</v>
      </c>
    </row>
    <row r="70" spans="1:25" ht="15.75" customHeight="1">
      <c r="A70" s="7">
        <v>12655</v>
      </c>
      <c r="B70" t="s">
        <v>218</v>
      </c>
      <c r="C70" s="7" t="s">
        <v>167</v>
      </c>
      <c r="D70" s="5">
        <v>133.64999399999999</v>
      </c>
      <c r="E70" s="5">
        <v>-32.450006999999999</v>
      </c>
      <c r="F70">
        <v>6.21846E-2</v>
      </c>
      <c r="G70">
        <f t="shared" si="2"/>
        <v>5.1134199999999996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5.1134199999999996</v>
      </c>
      <c r="W70">
        <v>0</v>
      </c>
      <c r="X70">
        <v>0</v>
      </c>
      <c r="Y70">
        <f t="shared" si="3"/>
        <v>5.0512353999999995</v>
      </c>
    </row>
    <row r="71" spans="1:25" ht="15.75" customHeight="1">
      <c r="A71" s="7">
        <v>12662</v>
      </c>
      <c r="B71" t="s">
        <v>219</v>
      </c>
      <c r="C71" s="7" t="s">
        <v>167</v>
      </c>
      <c r="D71" s="5">
        <v>133.666664</v>
      </c>
      <c r="E71" s="5">
        <v>-32.450004</v>
      </c>
      <c r="F71">
        <v>28.954999999999998</v>
      </c>
      <c r="G71">
        <f t="shared" si="2"/>
        <v>6.8714399999999995E-2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6.8714399999999995E-2</v>
      </c>
      <c r="W71">
        <v>0</v>
      </c>
      <c r="X71">
        <v>0</v>
      </c>
      <c r="Y71">
        <f t="shared" si="3"/>
        <v>28.886285599999997</v>
      </c>
    </row>
    <row r="72" spans="1:25" ht="15.75" customHeight="1">
      <c r="A72" s="7">
        <v>12663</v>
      </c>
      <c r="B72" t="s">
        <v>220</v>
      </c>
      <c r="C72" s="7" t="s">
        <v>167</v>
      </c>
      <c r="D72" s="5">
        <v>133.666664</v>
      </c>
      <c r="E72" s="5">
        <v>-32.450004</v>
      </c>
      <c r="F72">
        <v>28.954999999999998</v>
      </c>
      <c r="G72">
        <f t="shared" si="2"/>
        <v>6.8714399999999995E-2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6.8714399999999995E-2</v>
      </c>
      <c r="W72">
        <v>0</v>
      </c>
      <c r="X72">
        <v>0</v>
      </c>
      <c r="Y72">
        <f t="shared" si="3"/>
        <v>28.886285599999997</v>
      </c>
    </row>
    <row r="73" spans="1:25" ht="15.75" customHeight="1">
      <c r="A73" s="7">
        <v>12999</v>
      </c>
      <c r="B73" t="s">
        <v>221</v>
      </c>
      <c r="C73" s="7" t="s">
        <v>167</v>
      </c>
      <c r="D73" s="5">
        <v>133.666664</v>
      </c>
      <c r="E73" s="5">
        <v>-32.450004</v>
      </c>
      <c r="F73">
        <v>28.954999999999998</v>
      </c>
      <c r="G73">
        <f t="shared" si="2"/>
        <v>6.8714399999999995E-2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6.8714399999999995E-2</v>
      </c>
      <c r="W73">
        <v>0</v>
      </c>
      <c r="X73">
        <v>0</v>
      </c>
      <c r="Y73">
        <f t="shared" si="3"/>
        <v>28.886285599999997</v>
      </c>
    </row>
    <row r="74" spans="1:25" ht="15.75" customHeight="1">
      <c r="A74" s="7">
        <v>12568</v>
      </c>
      <c r="B74" t="s">
        <v>222</v>
      </c>
      <c r="C74" s="7" t="s">
        <v>167</v>
      </c>
      <c r="D74" s="5">
        <v>134.166662</v>
      </c>
      <c r="E74" s="5">
        <v>-27.966674999999999</v>
      </c>
      <c r="F74">
        <v>262.98200000000003</v>
      </c>
      <c r="G74">
        <f t="shared" si="2"/>
        <v>266.476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266.476</v>
      </c>
      <c r="U74">
        <v>0</v>
      </c>
      <c r="V74">
        <v>0</v>
      </c>
      <c r="W74">
        <v>0</v>
      </c>
      <c r="X74">
        <v>0</v>
      </c>
      <c r="Y74">
        <f t="shared" si="3"/>
        <v>3.4939999999999714</v>
      </c>
    </row>
    <row r="75" spans="1:25" ht="15.75" customHeight="1">
      <c r="A75" s="7">
        <v>12733</v>
      </c>
      <c r="B75" t="s">
        <v>223</v>
      </c>
      <c r="C75" s="7" t="s">
        <v>167</v>
      </c>
      <c r="D75" s="5">
        <v>136.26665800000001</v>
      </c>
      <c r="E75" s="5">
        <v>-34.516666999999998</v>
      </c>
      <c r="F75">
        <v>0</v>
      </c>
      <c r="G75">
        <f t="shared" si="2"/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f t="shared" si="3"/>
        <v>0</v>
      </c>
    </row>
    <row r="76" spans="1:25" ht="15.75" customHeight="1">
      <c r="A76" s="7">
        <v>12657</v>
      </c>
      <c r="B76" t="s">
        <v>224</v>
      </c>
      <c r="C76" s="7" t="s">
        <v>167</v>
      </c>
      <c r="D76" s="5">
        <v>136.99999600000001</v>
      </c>
      <c r="E76" s="5">
        <v>-28.500004000000001</v>
      </c>
      <c r="F76">
        <v>83.002300000000005</v>
      </c>
      <c r="G76">
        <f t="shared" si="2"/>
        <v>-12.958500000000001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-12.958500000000001</v>
      </c>
      <c r="V76">
        <v>0</v>
      </c>
      <c r="W76">
        <v>0</v>
      </c>
      <c r="X76">
        <v>0</v>
      </c>
      <c r="Y76">
        <f t="shared" si="3"/>
        <v>95.960800000000006</v>
      </c>
    </row>
    <row r="77" spans="1:25" ht="15.75" customHeight="1">
      <c r="A77" s="7">
        <v>18472</v>
      </c>
      <c r="B77" t="s">
        <v>225</v>
      </c>
      <c r="C77" s="7" t="s">
        <v>167</v>
      </c>
      <c r="D77" s="5">
        <v>138.37562500000001</v>
      </c>
      <c r="E77" s="5">
        <v>-30.258890999999998</v>
      </c>
      <c r="F77">
        <v>250.13</v>
      </c>
      <c r="G77">
        <f t="shared" si="2"/>
        <v>137.71100000000001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137.71100000000001</v>
      </c>
      <c r="Y77">
        <f t="shared" si="3"/>
        <v>112.41899999999998</v>
      </c>
    </row>
    <row r="78" spans="1:25" ht="15.75" customHeight="1">
      <c r="A78" s="7">
        <v>12660</v>
      </c>
      <c r="B78" t="s">
        <v>226</v>
      </c>
      <c r="C78" s="7" t="s">
        <v>167</v>
      </c>
      <c r="D78" s="5">
        <v>138.41666599999999</v>
      </c>
      <c r="E78" s="5">
        <v>-30.550001000000002</v>
      </c>
      <c r="F78">
        <v>299.012</v>
      </c>
      <c r="G78">
        <f t="shared" si="2"/>
        <v>226.05099999999999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226.05099999999999</v>
      </c>
      <c r="Y78">
        <f t="shared" si="3"/>
        <v>72.961000000000013</v>
      </c>
    </row>
    <row r="79" spans="1:25" ht="15.75" customHeight="1">
      <c r="A79" s="7">
        <v>18497</v>
      </c>
      <c r="B79" t="s">
        <v>227</v>
      </c>
      <c r="C79" s="7" t="s">
        <v>167</v>
      </c>
      <c r="D79" s="5">
        <v>138.78248400000001</v>
      </c>
      <c r="E79" s="5">
        <v>-29.389538999999999</v>
      </c>
      <c r="F79">
        <v>90.733000000000004</v>
      </c>
      <c r="G79">
        <f t="shared" si="2"/>
        <v>120.318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120.318</v>
      </c>
      <c r="Y79">
        <f t="shared" si="3"/>
        <v>29.584999999999994</v>
      </c>
    </row>
    <row r="80" spans="1:25" ht="15.75" customHeight="1">
      <c r="A80" s="7">
        <v>114484</v>
      </c>
      <c r="B80" t="s">
        <v>228</v>
      </c>
      <c r="C80" s="7" t="s">
        <v>167</v>
      </c>
      <c r="D80" s="5">
        <v>138.90346500000001</v>
      </c>
      <c r="E80" s="5">
        <v>-31.104990999999998</v>
      </c>
      <c r="F80">
        <v>303.41500000000002</v>
      </c>
      <c r="G80">
        <f t="shared" si="2"/>
        <v>311.351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311.351</v>
      </c>
      <c r="Y80">
        <f t="shared" si="3"/>
        <v>7.9359999999999786</v>
      </c>
    </row>
    <row r="81" spans="1:25" ht="15.75" customHeight="1">
      <c r="A81" s="7">
        <v>114192</v>
      </c>
      <c r="B81" t="s">
        <v>229</v>
      </c>
      <c r="C81" s="7" t="s">
        <v>167</v>
      </c>
      <c r="D81" s="5">
        <v>139.27306999999999</v>
      </c>
      <c r="E81" s="5">
        <v>-30.174112000000001</v>
      </c>
      <c r="F81">
        <v>708.02200000000005</v>
      </c>
      <c r="G81">
        <f t="shared" si="2"/>
        <v>597.00699999999995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597.00699999999995</v>
      </c>
      <c r="Y81">
        <f t="shared" si="3"/>
        <v>111.0150000000001</v>
      </c>
    </row>
    <row r="82" spans="1:25" ht="15.75" customHeight="1">
      <c r="A82" s="7">
        <v>12658</v>
      </c>
      <c r="B82" t="s">
        <v>230</v>
      </c>
      <c r="C82" s="7" t="s">
        <v>167</v>
      </c>
      <c r="D82" s="5">
        <v>139.28332900000001</v>
      </c>
      <c r="E82" s="5">
        <v>-30.966670000000001</v>
      </c>
      <c r="F82">
        <v>210.042</v>
      </c>
      <c r="G82">
        <f t="shared" si="2"/>
        <v>116.90300000000001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116.90300000000001</v>
      </c>
      <c r="Y82">
        <f t="shared" si="3"/>
        <v>93.138999999999996</v>
      </c>
    </row>
    <row r="83" spans="1:25" ht="15.75" customHeight="1">
      <c r="A83" s="7">
        <v>12572</v>
      </c>
      <c r="B83" t="s">
        <v>231</v>
      </c>
      <c r="C83" s="7" t="s">
        <v>167</v>
      </c>
      <c r="D83" s="5">
        <v>141.94999300000001</v>
      </c>
      <c r="E83" s="5">
        <v>-33.950004</v>
      </c>
      <c r="F83">
        <v>35.987900000000003</v>
      </c>
      <c r="G83">
        <f t="shared" si="2"/>
        <v>30.002700000000001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30.002700000000001</v>
      </c>
      <c r="X83">
        <v>0</v>
      </c>
      <c r="Y83">
        <f t="shared" si="3"/>
        <v>5.9852000000000025</v>
      </c>
    </row>
    <row r="84" spans="1:25" ht="15.75" customHeight="1">
      <c r="A84" s="7">
        <v>12573</v>
      </c>
      <c r="B84" t="s">
        <v>232</v>
      </c>
      <c r="C84" s="7" t="s">
        <v>167</v>
      </c>
      <c r="D84" s="5">
        <v>141.94999300000001</v>
      </c>
      <c r="E84" s="5">
        <v>-33.950004</v>
      </c>
      <c r="F84">
        <v>35.987900000000003</v>
      </c>
      <c r="G84">
        <f t="shared" si="2"/>
        <v>30.002700000000001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30.002700000000001</v>
      </c>
      <c r="X84">
        <v>0</v>
      </c>
      <c r="Y84">
        <f t="shared" si="3"/>
        <v>5.9852000000000025</v>
      </c>
    </row>
    <row r="85" spans="1:25" ht="15.75" customHeight="1">
      <c r="A85" s="7">
        <v>12574</v>
      </c>
      <c r="B85" t="s">
        <v>233</v>
      </c>
      <c r="C85" s="7" t="s">
        <v>167</v>
      </c>
      <c r="D85" s="5">
        <v>141.94999300000001</v>
      </c>
      <c r="E85" s="5">
        <v>-33.950004</v>
      </c>
      <c r="F85">
        <v>35.987900000000003</v>
      </c>
      <c r="G85">
        <f t="shared" si="2"/>
        <v>30.002700000000001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30.002700000000001</v>
      </c>
      <c r="X85">
        <v>0</v>
      </c>
      <c r="Y85">
        <f t="shared" si="3"/>
        <v>5.9852000000000025</v>
      </c>
    </row>
    <row r="86" spans="1:25" ht="15.75" customHeight="1">
      <c r="A86" s="7">
        <v>12576</v>
      </c>
      <c r="B86" t="s">
        <v>234</v>
      </c>
      <c r="C86" s="7" t="s">
        <v>167</v>
      </c>
      <c r="D86" s="5">
        <v>142.333324</v>
      </c>
      <c r="E86" s="5">
        <v>-32.666671999999998</v>
      </c>
      <c r="F86">
        <v>47.011600000000001</v>
      </c>
      <c r="G86">
        <f t="shared" si="2"/>
        <v>55.023499999999999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55.023499999999999</v>
      </c>
      <c r="X86">
        <v>0</v>
      </c>
      <c r="Y86">
        <f t="shared" si="3"/>
        <v>8.0118999999999971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1B79-A711-4AED-889A-8C2A5EBAAF15}">
  <dimension ref="A1:F460"/>
  <sheetViews>
    <sheetView workbookViewId="0">
      <selection activeCell="A501" sqref="A501"/>
    </sheetView>
  </sheetViews>
  <sheetFormatPr defaultRowHeight="12.75"/>
  <cols>
    <col min="1" max="1" width="9.28515625" style="1" customWidth="1"/>
    <col min="2" max="2" width="19.7109375" style="1" customWidth="1"/>
    <col min="3" max="4" width="19.7109375" style="5" customWidth="1"/>
    <col min="5" max="5" width="10.140625" bestFit="1" customWidth="1"/>
    <col min="6" max="6" width="13.42578125" customWidth="1"/>
  </cols>
  <sheetData>
    <row r="1" spans="1:6" ht="25.5">
      <c r="A1" s="1" t="s">
        <v>0</v>
      </c>
      <c r="B1" s="1" t="s">
        <v>235</v>
      </c>
      <c r="C1" s="5" t="s">
        <v>236</v>
      </c>
      <c r="D1" s="10" t="s">
        <v>237</v>
      </c>
      <c r="E1" s="10" t="s">
        <v>167</v>
      </c>
      <c r="F1" s="10" t="s">
        <v>238</v>
      </c>
    </row>
    <row r="2" spans="1:6">
      <c r="A2" s="1">
        <v>12688</v>
      </c>
      <c r="B2" s="1" t="s">
        <v>237</v>
      </c>
      <c r="C2" s="5">
        <v>142.166664</v>
      </c>
      <c r="D2" s="5">
        <v>-34.183342000000003</v>
      </c>
    </row>
    <row r="3" spans="1:6">
      <c r="A3" s="1">
        <v>12575</v>
      </c>
      <c r="B3" s="1" t="s">
        <v>237</v>
      </c>
      <c r="C3" s="5">
        <v>142.18332599999999</v>
      </c>
      <c r="D3" s="5">
        <v>-34.166670000000003</v>
      </c>
    </row>
    <row r="4" spans="1:6">
      <c r="A4" s="1">
        <v>12684</v>
      </c>
      <c r="B4" s="1" t="s">
        <v>237</v>
      </c>
      <c r="C4" s="5">
        <v>136.16666000000001</v>
      </c>
      <c r="D4" s="5">
        <v>-33.433340000000001</v>
      </c>
    </row>
    <row r="5" spans="1:6">
      <c r="A5" s="9">
        <v>12678</v>
      </c>
      <c r="B5" s="10" t="s">
        <v>237</v>
      </c>
      <c r="C5" s="2">
        <v>125.88332589087337</v>
      </c>
      <c r="D5" s="2">
        <v>-32.216670195722415</v>
      </c>
    </row>
    <row r="6" spans="1:6">
      <c r="A6" s="8">
        <v>12715</v>
      </c>
      <c r="B6" s="10" t="s">
        <v>237</v>
      </c>
      <c r="C6" s="2">
        <v>126.18333304260975</v>
      </c>
      <c r="D6" s="2">
        <v>-32.100000062828983</v>
      </c>
    </row>
    <row r="7" spans="1:6">
      <c r="A7" s="8">
        <v>12713</v>
      </c>
      <c r="B7" s="10" t="s">
        <v>237</v>
      </c>
      <c r="C7" s="2">
        <v>126.03332882986672</v>
      </c>
      <c r="D7" s="2">
        <v>-32.06667451851645</v>
      </c>
    </row>
    <row r="8" spans="1:6">
      <c r="A8" s="8">
        <v>12788</v>
      </c>
      <c r="B8" s="10" t="s">
        <v>237</v>
      </c>
      <c r="C8" s="2">
        <v>126.03332736910907</v>
      </c>
      <c r="D8" s="2">
        <v>-32.050003190943805</v>
      </c>
    </row>
    <row r="9" spans="1:6">
      <c r="A9" s="8">
        <v>12785</v>
      </c>
      <c r="B9" s="10" t="s">
        <v>237</v>
      </c>
      <c r="C9" s="2">
        <v>127.03332876663272</v>
      </c>
      <c r="D9" s="2">
        <v>-31.983341211053684</v>
      </c>
    </row>
    <row r="10" spans="1:6">
      <c r="A10" s="8">
        <v>12727</v>
      </c>
      <c r="B10" s="10" t="s">
        <v>237</v>
      </c>
      <c r="C10" s="2">
        <v>127.03332457729357</v>
      </c>
      <c r="D10" s="2">
        <v>-31.966673172226823</v>
      </c>
    </row>
    <row r="11" spans="1:6">
      <c r="A11" s="9">
        <v>12738</v>
      </c>
      <c r="B11" s="10" t="s">
        <v>237</v>
      </c>
      <c r="C11" s="2">
        <v>125.91666592057311</v>
      </c>
      <c r="D11" s="2">
        <v>-31.966669920192786</v>
      </c>
    </row>
    <row r="12" spans="1:6">
      <c r="A12" s="8">
        <v>12725</v>
      </c>
      <c r="B12" s="10" t="s">
        <v>237</v>
      </c>
      <c r="C12" s="2">
        <v>126.73332634405332</v>
      </c>
      <c r="D12" s="2">
        <v>-31.850007684654891</v>
      </c>
    </row>
    <row r="13" spans="1:6">
      <c r="A13" s="8">
        <v>12718</v>
      </c>
      <c r="B13" s="10" t="s">
        <v>237</v>
      </c>
      <c r="C13" s="2">
        <v>127.71666062389029</v>
      </c>
      <c r="D13" s="2">
        <v>-31.83333477294163</v>
      </c>
    </row>
    <row r="14" spans="1:6">
      <c r="A14" s="8">
        <v>12768</v>
      </c>
      <c r="B14" s="10" t="s">
        <v>237</v>
      </c>
      <c r="C14" s="2">
        <v>127.79999437308508</v>
      </c>
      <c r="D14" s="2">
        <v>-31.775005300990752</v>
      </c>
    </row>
    <row r="15" spans="1:6">
      <c r="A15" s="8">
        <v>12716</v>
      </c>
      <c r="B15" s="10" t="s">
        <v>237</v>
      </c>
      <c r="C15" s="2">
        <v>127.79999638903517</v>
      </c>
      <c r="D15" s="2">
        <v>-31.766669713229184</v>
      </c>
    </row>
    <row r="16" spans="1:6">
      <c r="A16" s="8">
        <v>12781</v>
      </c>
      <c r="B16" s="10" t="s">
        <v>237</v>
      </c>
      <c r="C16" s="2">
        <v>127.79999638903517</v>
      </c>
      <c r="D16" s="2">
        <v>-31.766669713229184</v>
      </c>
    </row>
    <row r="17" spans="1:4">
      <c r="A17" s="8">
        <v>12753</v>
      </c>
      <c r="B17" s="10" t="s">
        <v>237</v>
      </c>
      <c r="C17" s="2">
        <v>128.48333202306591</v>
      </c>
      <c r="D17" s="2">
        <v>-31.716673600125294</v>
      </c>
    </row>
    <row r="18" spans="1:4">
      <c r="A18" s="8">
        <v>12755</v>
      </c>
      <c r="B18" s="10" t="s">
        <v>237</v>
      </c>
      <c r="C18" s="2">
        <v>128.48332947992145</v>
      </c>
      <c r="D18" s="2">
        <v>-31.700000876470028</v>
      </c>
    </row>
    <row r="19" spans="1:4">
      <c r="A19" s="8">
        <v>12759</v>
      </c>
      <c r="B19" s="10" t="s">
        <v>237</v>
      </c>
      <c r="C19" s="2">
        <v>129.03333021296604</v>
      </c>
      <c r="D19" s="2">
        <v>-31.683341528055401</v>
      </c>
    </row>
    <row r="20" spans="1:4">
      <c r="A20" s="8">
        <v>12750</v>
      </c>
      <c r="B20" s="10" t="s">
        <v>237</v>
      </c>
      <c r="C20" s="2">
        <v>127.71666116878031</v>
      </c>
      <c r="D20" s="2">
        <v>-31.683340805906472</v>
      </c>
    </row>
    <row r="21" spans="1:4">
      <c r="A21" s="8">
        <v>12743</v>
      </c>
      <c r="B21" s="10" t="s">
        <v>237</v>
      </c>
      <c r="C21" s="2">
        <v>128.48332416590603</v>
      </c>
      <c r="D21" s="2">
        <v>-31.666673342579919</v>
      </c>
    </row>
    <row r="22" spans="1:4">
      <c r="A22" s="8">
        <v>12695</v>
      </c>
      <c r="B22" s="10" t="s">
        <v>237</v>
      </c>
      <c r="C22" s="2">
        <v>127.43332620260664</v>
      </c>
      <c r="D22" s="2">
        <v>-31.650000943509845</v>
      </c>
    </row>
    <row r="23" spans="1:4">
      <c r="A23" s="8">
        <v>12721</v>
      </c>
      <c r="B23" s="10" t="s">
        <v>237</v>
      </c>
      <c r="C23" s="2">
        <v>127.43332620260664</v>
      </c>
      <c r="D23" s="2">
        <v>-31.650000943509845</v>
      </c>
    </row>
    <row r="24" spans="1:4">
      <c r="A24" s="8">
        <v>12783</v>
      </c>
      <c r="B24" s="10" t="s">
        <v>237</v>
      </c>
      <c r="C24" s="2">
        <v>128.48333204168273</v>
      </c>
      <c r="D24" s="2">
        <v>-31.650000531334182</v>
      </c>
    </row>
    <row r="25" spans="1:4">
      <c r="A25" s="8">
        <v>12723</v>
      </c>
      <c r="B25" s="10" t="s">
        <v>237</v>
      </c>
      <c r="C25" s="2">
        <v>127.01666054318713</v>
      </c>
      <c r="D25" s="2">
        <v>-31.583339143492136</v>
      </c>
    </row>
    <row r="26" spans="1:4">
      <c r="A26" s="8">
        <v>12757</v>
      </c>
      <c r="B26" s="10" t="s">
        <v>237</v>
      </c>
      <c r="C26" s="2">
        <v>129.09999897198571</v>
      </c>
      <c r="D26" s="2">
        <v>-31.533337490179314</v>
      </c>
    </row>
    <row r="27" spans="1:4">
      <c r="A27" s="8">
        <v>12644</v>
      </c>
      <c r="B27" s="10" t="s">
        <v>237</v>
      </c>
      <c r="C27" s="2">
        <v>129.91665993942641</v>
      </c>
      <c r="D27" s="2">
        <v>-31.500003674349536</v>
      </c>
    </row>
    <row r="28" spans="1:4">
      <c r="A28" s="8">
        <v>12747</v>
      </c>
      <c r="B28" s="10" t="s">
        <v>237</v>
      </c>
      <c r="C28" s="2">
        <v>127.18333042201293</v>
      </c>
      <c r="D28" s="2">
        <v>-31.433337192970523</v>
      </c>
    </row>
    <row r="29" spans="1:4">
      <c r="A29" s="8">
        <v>12762</v>
      </c>
      <c r="B29" s="10" t="s">
        <v>237</v>
      </c>
      <c r="C29" s="2">
        <v>128.74998967975071</v>
      </c>
      <c r="D29" s="2">
        <v>-31.066674992483581</v>
      </c>
    </row>
    <row r="30" spans="1:4">
      <c r="A30" s="1">
        <v>12659</v>
      </c>
      <c r="B30" s="1" t="s">
        <v>237</v>
      </c>
      <c r="C30" s="5">
        <v>139.28332900000001</v>
      </c>
      <c r="D30" s="5">
        <v>-30.966670000000001</v>
      </c>
    </row>
    <row r="31" spans="1:4">
      <c r="A31" s="1">
        <v>12674</v>
      </c>
      <c r="B31" s="1" t="s">
        <v>237</v>
      </c>
      <c r="C31" s="5">
        <v>132.166661</v>
      </c>
      <c r="D31" s="5">
        <v>-30.866669999999999</v>
      </c>
    </row>
    <row r="32" spans="1:4">
      <c r="A32" s="1">
        <v>12661</v>
      </c>
      <c r="B32" s="1" t="s">
        <v>237</v>
      </c>
      <c r="C32" s="5">
        <v>138.36666099999999</v>
      </c>
      <c r="D32" s="5">
        <v>-30.583334000000001</v>
      </c>
    </row>
    <row r="33" spans="1:4">
      <c r="A33" t="s">
        <v>165</v>
      </c>
      <c r="B33" t="s">
        <v>237</v>
      </c>
      <c r="C33">
        <v>120.533</v>
      </c>
      <c r="D33" s="5">
        <v>-30.082999999999998</v>
      </c>
    </row>
    <row r="34" spans="1:4">
      <c r="A34" t="s">
        <v>165</v>
      </c>
      <c r="B34" t="s">
        <v>237</v>
      </c>
      <c r="C34">
        <v>122.81699999999999</v>
      </c>
      <c r="D34" s="5">
        <v>-30.082999999999998</v>
      </c>
    </row>
    <row r="35" spans="1:4">
      <c r="A35" t="s">
        <v>165</v>
      </c>
      <c r="B35" t="s">
        <v>237</v>
      </c>
      <c r="C35">
        <v>117.25</v>
      </c>
      <c r="D35" s="5">
        <v>-29.567</v>
      </c>
    </row>
    <row r="36" spans="1:4">
      <c r="A36" t="s">
        <v>165</v>
      </c>
      <c r="B36" t="s">
        <v>237</v>
      </c>
      <c r="C36">
        <v>121.633</v>
      </c>
      <c r="D36" s="5">
        <v>-29.516999999999999</v>
      </c>
    </row>
    <row r="37" spans="1:4">
      <c r="A37" t="s">
        <v>165</v>
      </c>
      <c r="B37" t="s">
        <v>237</v>
      </c>
      <c r="C37">
        <v>119.367</v>
      </c>
      <c r="D37" s="5">
        <v>-29.367000000000001</v>
      </c>
    </row>
    <row r="38" spans="1:4">
      <c r="A38" t="s">
        <v>165</v>
      </c>
      <c r="B38" t="s">
        <v>237</v>
      </c>
      <c r="C38">
        <v>116.767</v>
      </c>
      <c r="D38" s="5">
        <v>-29.2</v>
      </c>
    </row>
    <row r="39" spans="1:4">
      <c r="A39" t="s">
        <v>165</v>
      </c>
      <c r="B39" t="s">
        <v>237</v>
      </c>
      <c r="C39">
        <v>115.583</v>
      </c>
      <c r="D39" s="5">
        <v>-29.082999999999998</v>
      </c>
    </row>
    <row r="40" spans="1:4">
      <c r="A40" t="s">
        <v>165</v>
      </c>
      <c r="B40" t="s">
        <v>237</v>
      </c>
      <c r="C40">
        <v>117.81699999999999</v>
      </c>
      <c r="D40" s="5">
        <v>-28.55</v>
      </c>
    </row>
    <row r="41" spans="1:4">
      <c r="A41" t="s">
        <v>165</v>
      </c>
      <c r="B41" t="s">
        <v>237</v>
      </c>
      <c r="C41">
        <v>117.18300000000001</v>
      </c>
      <c r="D41" s="5">
        <v>-28.132999999999999</v>
      </c>
    </row>
    <row r="42" spans="1:4">
      <c r="A42" t="s">
        <v>165</v>
      </c>
      <c r="B42" t="s">
        <v>237</v>
      </c>
      <c r="C42">
        <v>115.617</v>
      </c>
      <c r="D42" s="5">
        <v>-28.117000000000001</v>
      </c>
    </row>
    <row r="43" spans="1:4">
      <c r="A43" t="s">
        <v>165</v>
      </c>
      <c r="B43" t="s">
        <v>237</v>
      </c>
      <c r="C43">
        <v>120.3</v>
      </c>
      <c r="D43" s="5">
        <v>-28.117000000000001</v>
      </c>
    </row>
    <row r="44" spans="1:4">
      <c r="A44" t="s">
        <v>165</v>
      </c>
      <c r="B44" t="s">
        <v>237</v>
      </c>
      <c r="C44">
        <v>116.283</v>
      </c>
      <c r="D44" s="5">
        <v>-27.466999999999999</v>
      </c>
    </row>
    <row r="45" spans="1:4">
      <c r="A45" s="8">
        <v>13237</v>
      </c>
      <c r="B45" s="10" t="s">
        <v>237</v>
      </c>
      <c r="C45" s="2">
        <v>126.46666461463113</v>
      </c>
      <c r="D45" s="2">
        <v>-27.200001860053746</v>
      </c>
    </row>
    <row r="46" spans="1:4">
      <c r="A46" t="s">
        <v>165</v>
      </c>
      <c r="B46" t="s">
        <v>237</v>
      </c>
      <c r="C46">
        <v>126.467</v>
      </c>
      <c r="D46" s="5">
        <v>-27.2</v>
      </c>
    </row>
    <row r="47" spans="1:4">
      <c r="A47" t="s">
        <v>165</v>
      </c>
      <c r="B47" t="s">
        <v>237</v>
      </c>
      <c r="C47">
        <v>119.93300000000001</v>
      </c>
      <c r="D47" s="5">
        <v>-27.05</v>
      </c>
    </row>
    <row r="48" spans="1:4">
      <c r="A48" t="s">
        <v>165</v>
      </c>
      <c r="B48" t="s">
        <v>237</v>
      </c>
      <c r="C48">
        <v>117.7</v>
      </c>
      <c r="D48" s="5">
        <v>-26.917000000000002</v>
      </c>
    </row>
    <row r="49" spans="1:5">
      <c r="A49" s="8">
        <v>105480</v>
      </c>
      <c r="B49" s="10" t="s">
        <v>237</v>
      </c>
      <c r="C49" s="2">
        <v>129.93292427739746</v>
      </c>
      <c r="D49" s="2">
        <v>-26.893581422014282</v>
      </c>
    </row>
    <row r="50" spans="1:5">
      <c r="A50" s="8">
        <v>13236</v>
      </c>
      <c r="B50" s="10" t="s">
        <v>237</v>
      </c>
      <c r="C50" s="2">
        <v>126.44999835605805</v>
      </c>
      <c r="D50" s="2">
        <v>-26.700005847136644</v>
      </c>
    </row>
    <row r="51" spans="1:5">
      <c r="A51" t="s">
        <v>165</v>
      </c>
      <c r="B51" t="s">
        <v>237</v>
      </c>
      <c r="C51">
        <v>126.45</v>
      </c>
      <c r="D51" s="5">
        <v>-26.7</v>
      </c>
    </row>
    <row r="52" spans="1:5">
      <c r="A52" s="8">
        <v>12700</v>
      </c>
      <c r="B52" s="10" t="s">
        <v>237</v>
      </c>
      <c r="C52" s="2">
        <v>130.66666321618661</v>
      </c>
      <c r="D52" s="2">
        <v>-26.616672857216347</v>
      </c>
    </row>
    <row r="53" spans="1:5">
      <c r="A53" s="9">
        <v>13235</v>
      </c>
      <c r="B53" s="10" t="s">
        <v>237</v>
      </c>
      <c r="C53" s="2">
        <v>125.86666517263507</v>
      </c>
      <c r="D53" s="2">
        <v>-26.60000359388658</v>
      </c>
    </row>
    <row r="54" spans="1:5">
      <c r="A54" t="s">
        <v>165</v>
      </c>
      <c r="B54" t="s">
        <v>237</v>
      </c>
      <c r="C54">
        <v>113.68300000000001</v>
      </c>
      <c r="D54" s="5">
        <v>-26.6</v>
      </c>
    </row>
    <row r="55" spans="1:5">
      <c r="A55" t="s">
        <v>165</v>
      </c>
      <c r="B55" t="s">
        <v>237</v>
      </c>
      <c r="C55">
        <v>125.867</v>
      </c>
      <c r="D55" s="5">
        <v>-26.6</v>
      </c>
    </row>
    <row r="56" spans="1:5">
      <c r="A56" t="s">
        <v>165</v>
      </c>
      <c r="B56" t="s">
        <v>237</v>
      </c>
      <c r="C56">
        <v>126.033</v>
      </c>
      <c r="D56" s="5">
        <v>-26.516999999999999</v>
      </c>
    </row>
    <row r="57" spans="1:5">
      <c r="A57" s="8">
        <v>13234</v>
      </c>
      <c r="B57" s="10" t="s">
        <v>237</v>
      </c>
      <c r="C57" s="2">
        <v>126.03332701761936</v>
      </c>
      <c r="D57" s="2">
        <v>-26.516675087613809</v>
      </c>
    </row>
    <row r="58" spans="1:5">
      <c r="A58" t="s">
        <v>165</v>
      </c>
      <c r="B58" t="s">
        <v>237</v>
      </c>
      <c r="C58">
        <v>121.05</v>
      </c>
      <c r="D58" s="5">
        <v>-26.417000000000002</v>
      </c>
    </row>
    <row r="59" spans="1:5">
      <c r="A59" t="s">
        <v>165</v>
      </c>
      <c r="B59" t="s">
        <v>237</v>
      </c>
      <c r="C59">
        <v>113.3</v>
      </c>
      <c r="D59" s="5">
        <v>-26.4</v>
      </c>
    </row>
    <row r="60" spans="1:5">
      <c r="A60" t="s">
        <v>165</v>
      </c>
      <c r="B60" t="s">
        <v>237</v>
      </c>
      <c r="C60">
        <v>114.283</v>
      </c>
      <c r="D60" s="5">
        <v>-25.983000000000001</v>
      </c>
    </row>
    <row r="61" spans="1:5">
      <c r="A61" s="1" t="s">
        <v>239</v>
      </c>
      <c r="B61" s="1" t="str">
        <f>'NPC NT'!C24</f>
        <v>Leporillus apicalis</v>
      </c>
      <c r="C61" s="5">
        <f>'NPC NT'!H24</f>
        <v>133.9</v>
      </c>
      <c r="D61" s="5">
        <v>-25.98</v>
      </c>
      <c r="E61" s="11"/>
    </row>
    <row r="62" spans="1:5">
      <c r="A62" s="1" t="s">
        <v>239</v>
      </c>
      <c r="B62" s="1" t="str">
        <f>'NPC NT'!C23</f>
        <v>Leporillus apicalis</v>
      </c>
      <c r="C62" s="5">
        <f>'NPC NT'!H23</f>
        <v>133.86000000000001</v>
      </c>
      <c r="D62" s="5">
        <v>-25.96</v>
      </c>
      <c r="E62" s="11"/>
    </row>
    <row r="63" spans="1:5">
      <c r="A63" t="s">
        <v>165</v>
      </c>
      <c r="B63" t="s">
        <v>237</v>
      </c>
      <c r="C63">
        <v>125.93300000000001</v>
      </c>
      <c r="D63" s="5">
        <v>-25.766999999999999</v>
      </c>
    </row>
    <row r="64" spans="1:5">
      <c r="A64" s="9">
        <v>13233</v>
      </c>
      <c r="B64" s="10" t="s">
        <v>237</v>
      </c>
      <c r="C64" s="2">
        <v>125.93333106124335</v>
      </c>
      <c r="D64" s="2">
        <v>-25.766668375519782</v>
      </c>
    </row>
    <row r="65" spans="1:5">
      <c r="A65" t="s">
        <v>165</v>
      </c>
      <c r="B65" t="s">
        <v>237</v>
      </c>
      <c r="C65">
        <v>113.583</v>
      </c>
      <c r="D65" s="5">
        <v>-25.632999999999999</v>
      </c>
    </row>
    <row r="66" spans="1:5">
      <c r="A66" t="s">
        <v>165</v>
      </c>
      <c r="B66" t="s">
        <v>237</v>
      </c>
      <c r="C66">
        <v>124.43300000000001</v>
      </c>
      <c r="D66" s="5">
        <v>-25.433</v>
      </c>
    </row>
    <row r="67" spans="1:5">
      <c r="A67" t="s">
        <v>165</v>
      </c>
      <c r="B67" t="s">
        <v>237</v>
      </c>
      <c r="C67">
        <v>115.15</v>
      </c>
      <c r="D67" s="5">
        <v>-25.35</v>
      </c>
    </row>
    <row r="68" spans="1:5">
      <c r="A68" s="1" t="s">
        <v>239</v>
      </c>
      <c r="B68" s="1" t="str">
        <f>'NPC NT'!C18</f>
        <v>Leporillus apicalis</v>
      </c>
      <c r="C68" s="5">
        <f>'NPC NT'!H18</f>
        <v>131.03</v>
      </c>
      <c r="D68" s="5">
        <v>-25.35</v>
      </c>
      <c r="E68" s="11"/>
    </row>
    <row r="69" spans="1:5">
      <c r="A69" s="1" t="s">
        <v>239</v>
      </c>
      <c r="B69" s="1" t="str">
        <f>'NPC NT'!C19</f>
        <v>Leporillus apicalis</v>
      </c>
      <c r="C69" s="5">
        <f>'NPC NT'!H19</f>
        <v>131.03</v>
      </c>
      <c r="D69" s="5">
        <v>-25.35</v>
      </c>
      <c r="E69" s="11"/>
    </row>
    <row r="70" spans="1:5">
      <c r="A70" s="1" t="s">
        <v>239</v>
      </c>
      <c r="B70" s="1" t="str">
        <f>'NPC NT'!C20</f>
        <v>Leporillus apicalis</v>
      </c>
      <c r="C70" s="5">
        <f>'NPC NT'!H20</f>
        <v>131.03</v>
      </c>
      <c r="D70" s="5">
        <v>-25.35</v>
      </c>
      <c r="E70" s="11"/>
    </row>
    <row r="71" spans="1:5">
      <c r="A71" s="1" t="s">
        <v>239</v>
      </c>
      <c r="B71" s="1" t="str">
        <f>'NPC NT'!C21</f>
        <v>Leporillus apicalis</v>
      </c>
      <c r="C71" s="5">
        <f>'NPC NT'!H21</f>
        <v>131.03</v>
      </c>
      <c r="D71" s="5">
        <v>-25.35</v>
      </c>
      <c r="E71" s="11"/>
    </row>
    <row r="72" spans="1:5">
      <c r="A72" t="s">
        <v>165</v>
      </c>
      <c r="B72" t="s">
        <v>237</v>
      </c>
      <c r="C72">
        <v>117.75</v>
      </c>
      <c r="D72" s="5">
        <v>-25.067</v>
      </c>
    </row>
    <row r="73" spans="1:5">
      <c r="A73" t="s">
        <v>165</v>
      </c>
      <c r="B73" t="s">
        <v>237</v>
      </c>
      <c r="C73">
        <v>124.983</v>
      </c>
      <c r="D73" s="5">
        <v>-25.033000000000001</v>
      </c>
    </row>
    <row r="74" spans="1:5">
      <c r="A74" t="s">
        <v>165</v>
      </c>
      <c r="B74" t="s">
        <v>237</v>
      </c>
      <c r="C74">
        <v>115.35</v>
      </c>
      <c r="D74" s="5">
        <v>-24.75</v>
      </c>
    </row>
    <row r="75" spans="1:5">
      <c r="A75" s="1" t="s">
        <v>239</v>
      </c>
      <c r="B75" s="1" t="str">
        <f>'NPC NT'!C25</f>
        <v>Leporillus apicalis</v>
      </c>
      <c r="C75" s="5">
        <f>'NPC NT'!H25</f>
        <v>135.75</v>
      </c>
      <c r="D75" s="5">
        <v>-24.56</v>
      </c>
      <c r="E75" s="11"/>
    </row>
    <row r="76" spans="1:5">
      <c r="A76" t="s">
        <v>165</v>
      </c>
      <c r="B76" t="s">
        <v>237</v>
      </c>
      <c r="C76">
        <v>113.43300000000001</v>
      </c>
      <c r="D76" s="5">
        <v>-24.117000000000001</v>
      </c>
    </row>
    <row r="77" spans="1:5">
      <c r="A77" t="s">
        <v>165</v>
      </c>
      <c r="B77" t="s">
        <v>237</v>
      </c>
      <c r="C77">
        <v>117.917</v>
      </c>
      <c r="D77" s="5">
        <v>-24.05</v>
      </c>
    </row>
    <row r="78" spans="1:5">
      <c r="A78" s="1" t="s">
        <v>239</v>
      </c>
      <c r="B78" s="1" t="str">
        <f>'NPC NT'!C22</f>
        <v>Leporillus apicalis</v>
      </c>
      <c r="C78" s="5">
        <f>'NPC NT'!H22</f>
        <v>133.41</v>
      </c>
      <c r="D78" s="5">
        <v>-24.03</v>
      </c>
      <c r="E78" s="11"/>
    </row>
    <row r="79" spans="1:5">
      <c r="A79" t="s">
        <v>165</v>
      </c>
      <c r="B79" t="s">
        <v>237</v>
      </c>
      <c r="C79">
        <v>119.43300000000001</v>
      </c>
      <c r="D79" s="5">
        <v>-23.966999999999999</v>
      </c>
    </row>
    <row r="80" spans="1:5">
      <c r="A80" s="1" t="s">
        <v>239</v>
      </c>
      <c r="B80" s="1" t="str">
        <f>'NPC NT'!C12</f>
        <v>Leporillus apicalis</v>
      </c>
      <c r="C80" s="5">
        <f>'NPC NT'!H12</f>
        <v>137.16</v>
      </c>
      <c r="D80" s="5">
        <v>-23.85</v>
      </c>
      <c r="E80" s="11"/>
    </row>
    <row r="81" spans="1:5">
      <c r="A81" s="1" t="s">
        <v>239</v>
      </c>
      <c r="B81" s="1" t="str">
        <f>'NPC NT'!C13</f>
        <v>Leporillus apicalis</v>
      </c>
      <c r="C81" s="5">
        <f>'NPC NT'!H13</f>
        <v>137.18</v>
      </c>
      <c r="D81" s="5">
        <v>-23.83</v>
      </c>
      <c r="E81" s="11"/>
    </row>
    <row r="82" spans="1:5">
      <c r="A82" s="1" t="s">
        <v>239</v>
      </c>
      <c r="B82" s="1" t="str">
        <f>'NPC NT'!C17</f>
        <v>Leporillus apicalis</v>
      </c>
      <c r="C82" s="5">
        <f>'NPC NT'!H17</f>
        <v>131.31</v>
      </c>
      <c r="D82" s="5">
        <v>-23.83</v>
      </c>
      <c r="E82" s="11"/>
    </row>
    <row r="83" spans="1:5">
      <c r="A83" s="1" t="s">
        <v>239</v>
      </c>
      <c r="B83" s="1" t="str">
        <f>'NPC NT'!C16</f>
        <v>Leporillus apicalis</v>
      </c>
      <c r="C83" s="5">
        <f>'NPC NT'!H16</f>
        <v>130.83000000000001</v>
      </c>
      <c r="D83" s="5">
        <v>-23.8</v>
      </c>
      <c r="E83" s="11"/>
    </row>
    <row r="84" spans="1:5">
      <c r="A84" s="1" t="s">
        <v>239</v>
      </c>
      <c r="B84" s="1" t="str">
        <f>'NPC NT'!C4</f>
        <v>Leporillus apicalis</v>
      </c>
      <c r="C84" s="5">
        <f>'NPC NT'!H4</f>
        <v>133.97</v>
      </c>
      <c r="D84" s="5">
        <v>-23.74</v>
      </c>
      <c r="E84" s="11"/>
    </row>
    <row r="85" spans="1:5">
      <c r="A85" s="1" t="s">
        <v>239</v>
      </c>
      <c r="B85" s="1" t="str">
        <f>'NPC NT'!C8</f>
        <v>Leporillus apicalis</v>
      </c>
      <c r="C85" s="5">
        <f>'NPC NT'!H8</f>
        <v>134.80000000000001</v>
      </c>
      <c r="D85" s="5">
        <v>-23.7</v>
      </c>
      <c r="E85" s="11"/>
    </row>
    <row r="86" spans="1:5">
      <c r="A86" s="1" t="s">
        <v>239</v>
      </c>
      <c r="B86" s="1" t="str">
        <f>'NPC NT'!C5</f>
        <v>Leporillus apicalis</v>
      </c>
      <c r="C86" s="5">
        <f>'NPC NT'!H5</f>
        <v>134.33000000000001</v>
      </c>
      <c r="D86" s="5">
        <v>-23.66</v>
      </c>
      <c r="E86" s="11"/>
    </row>
    <row r="87" spans="1:5">
      <c r="A87" s="1" t="s">
        <v>239</v>
      </c>
      <c r="B87" s="1" t="str">
        <f>'NPC NT'!C3</f>
        <v>Leporillus apicalis</v>
      </c>
      <c r="C87" s="5">
        <f>'NPC NT'!H3</f>
        <v>133.88999999999999</v>
      </c>
      <c r="D87" s="5">
        <v>-23.64</v>
      </c>
      <c r="E87" s="11"/>
    </row>
    <row r="88" spans="1:5">
      <c r="A88" s="1" t="s">
        <v>239</v>
      </c>
      <c r="B88" s="1" t="str">
        <f>'NPC NT'!C6</f>
        <v>Leporillus apicalis</v>
      </c>
      <c r="C88" s="5">
        <f>'NPC NT'!H6</f>
        <v>134.43</v>
      </c>
      <c r="D88" s="5">
        <v>-23.63</v>
      </c>
      <c r="E88" s="11"/>
    </row>
    <row r="89" spans="1:5">
      <c r="A89" t="s">
        <v>165</v>
      </c>
      <c r="B89" t="s">
        <v>237</v>
      </c>
      <c r="C89">
        <v>117.15</v>
      </c>
      <c r="D89" s="5">
        <v>-23.567</v>
      </c>
    </row>
    <row r="90" spans="1:5">
      <c r="A90" s="1" t="s">
        <v>239</v>
      </c>
      <c r="B90" s="1" t="str">
        <f>'NPC NT'!C10</f>
        <v>Leporillus apicalis</v>
      </c>
      <c r="C90" s="5">
        <f>'NPC NT'!H10</f>
        <v>135.01</v>
      </c>
      <c r="D90" s="5">
        <v>-23.56</v>
      </c>
      <c r="E90" s="11"/>
    </row>
    <row r="91" spans="1:5">
      <c r="A91" s="1" t="s">
        <v>239</v>
      </c>
      <c r="B91" s="1" t="str">
        <f>'NPC NT'!C7</f>
        <v>Leporillus apicalis</v>
      </c>
      <c r="C91" s="5">
        <f>'NPC NT'!H7</f>
        <v>134.72999999999999</v>
      </c>
      <c r="D91" s="5">
        <v>-23.44</v>
      </c>
      <c r="E91" s="11"/>
    </row>
    <row r="92" spans="1:5">
      <c r="A92" t="s">
        <v>165</v>
      </c>
      <c r="B92" t="s">
        <v>237</v>
      </c>
      <c r="C92">
        <v>113.8</v>
      </c>
      <c r="D92" s="5">
        <v>-23.117000000000001</v>
      </c>
    </row>
    <row r="93" spans="1:5">
      <c r="A93" s="7" t="s">
        <v>239</v>
      </c>
      <c r="B93" s="7" t="str">
        <f>'NPC NT'!C11</f>
        <v>Leporillus apicalis</v>
      </c>
      <c r="C93" s="5">
        <f>'NPC NT'!H11</f>
        <v>135.08000000000001</v>
      </c>
      <c r="D93" s="5">
        <v>-22.78</v>
      </c>
      <c r="E93" s="11"/>
    </row>
    <row r="94" spans="1:5">
      <c r="A94" s="7" t="s">
        <v>239</v>
      </c>
      <c r="B94" s="7" t="str">
        <f>'NPC NT'!C9</f>
        <v>Leporillus apicalis</v>
      </c>
      <c r="C94" s="5">
        <f>'NPC NT'!H9</f>
        <v>134.88</v>
      </c>
      <c r="D94" s="5">
        <v>-22.35</v>
      </c>
      <c r="E94" s="11"/>
    </row>
    <row r="95" spans="1:5">
      <c r="A95" s="12" t="s">
        <v>165</v>
      </c>
      <c r="B95" s="12" t="s">
        <v>237</v>
      </c>
      <c r="C95">
        <v>114</v>
      </c>
      <c r="D95" s="5">
        <v>-22.216999999999999</v>
      </c>
    </row>
    <row r="96" spans="1:5">
      <c r="A96" s="12" t="s">
        <v>165</v>
      </c>
      <c r="B96" s="12" t="s">
        <v>237</v>
      </c>
      <c r="C96">
        <v>113.983</v>
      </c>
      <c r="D96" s="5">
        <v>-22.2</v>
      </c>
    </row>
    <row r="97" spans="1:5">
      <c r="A97" s="12" t="s">
        <v>165</v>
      </c>
      <c r="B97" s="12" t="s">
        <v>237</v>
      </c>
      <c r="C97">
        <v>113.983</v>
      </c>
      <c r="D97" s="5">
        <v>-22.183</v>
      </c>
    </row>
    <row r="98" spans="1:5">
      <c r="A98" s="12" t="s">
        <v>165</v>
      </c>
      <c r="B98" s="12" t="s">
        <v>237</v>
      </c>
      <c r="C98">
        <v>114</v>
      </c>
      <c r="D98" s="5">
        <v>-22.132999999999999</v>
      </c>
    </row>
    <row r="99" spans="1:5">
      <c r="A99" s="12" t="s">
        <v>165</v>
      </c>
      <c r="B99" s="12" t="s">
        <v>237</v>
      </c>
      <c r="C99">
        <v>114.033</v>
      </c>
      <c r="D99" s="5">
        <v>-22.016999999999999</v>
      </c>
    </row>
    <row r="100" spans="1:5">
      <c r="A100" s="7" t="s">
        <v>239</v>
      </c>
      <c r="B100" s="7" t="str">
        <f>'NPC NT'!C2</f>
        <v>Leporillus apicalis</v>
      </c>
      <c r="C100" s="5">
        <f>'NPC NT'!H2</f>
        <v>137.25</v>
      </c>
      <c r="D100" s="5">
        <v>-22</v>
      </c>
      <c r="E100" s="11"/>
    </row>
    <row r="101" spans="1:5">
      <c r="A101" s="7" t="s">
        <v>239</v>
      </c>
      <c r="B101" s="7" t="str">
        <f>'NPC NT'!C14</f>
        <v>Leporillus apicalis</v>
      </c>
      <c r="C101" s="5">
        <f>'NPC NT'!H14</f>
        <v>137.25</v>
      </c>
      <c r="D101" s="5">
        <v>-22</v>
      </c>
      <c r="E101" s="11"/>
    </row>
    <row r="102" spans="1:5">
      <c r="A102" s="7" t="s">
        <v>239</v>
      </c>
      <c r="B102" s="7" t="str">
        <f>'NPC NT'!C15</f>
        <v>Leporillus apicalis</v>
      </c>
      <c r="C102" s="5">
        <f>'NPC NT'!H15</f>
        <v>137.32</v>
      </c>
      <c r="D102" s="5">
        <v>-22</v>
      </c>
      <c r="E102" s="11"/>
    </row>
    <row r="103" spans="1:5">
      <c r="A103" s="6">
        <v>12708</v>
      </c>
      <c r="B103" s="4" t="s">
        <v>167</v>
      </c>
      <c r="C103" s="2">
        <v>125.33332500009357</v>
      </c>
      <c r="E103" s="2">
        <v>-31.066672912338699</v>
      </c>
    </row>
    <row r="104" spans="1:5">
      <c r="A104" s="6">
        <v>12787</v>
      </c>
      <c r="B104" s="4" t="s">
        <v>167</v>
      </c>
      <c r="C104" s="2">
        <v>125.86665715174163</v>
      </c>
      <c r="E104" s="2">
        <v>-31.983336964763954</v>
      </c>
    </row>
    <row r="105" spans="1:5">
      <c r="A105" s="6">
        <v>12679</v>
      </c>
      <c r="B105" s="4" t="s">
        <v>167</v>
      </c>
      <c r="C105" s="2">
        <v>125.88332589087337</v>
      </c>
      <c r="E105" s="2">
        <v>-32.216670195722415</v>
      </c>
    </row>
    <row r="106" spans="1:5">
      <c r="A106" s="6">
        <v>12739</v>
      </c>
      <c r="B106" s="4" t="s">
        <v>167</v>
      </c>
      <c r="C106" s="2">
        <v>125.91666592057311</v>
      </c>
      <c r="E106" s="2">
        <v>-31.966669920192786</v>
      </c>
    </row>
    <row r="107" spans="1:5">
      <c r="A107" s="3">
        <v>12789</v>
      </c>
      <c r="B107" s="4" t="s">
        <v>167</v>
      </c>
      <c r="C107" s="2">
        <v>126.03332736910907</v>
      </c>
      <c r="E107" s="2">
        <v>-32.050003190943805</v>
      </c>
    </row>
    <row r="108" spans="1:5">
      <c r="A108" s="3">
        <v>12714</v>
      </c>
      <c r="B108" s="4" t="s">
        <v>167</v>
      </c>
      <c r="C108" s="2">
        <v>126.03332882986672</v>
      </c>
      <c r="E108" s="2">
        <v>-32.06667451851645</v>
      </c>
    </row>
    <row r="109" spans="1:5">
      <c r="A109" s="3">
        <v>12712</v>
      </c>
      <c r="B109" s="4" t="s">
        <v>167</v>
      </c>
      <c r="C109" s="2">
        <v>126.18332362765844</v>
      </c>
      <c r="E109" s="2">
        <v>-32.033337926136866</v>
      </c>
    </row>
    <row r="110" spans="1:5">
      <c r="A110" s="3">
        <v>12740</v>
      </c>
      <c r="B110" s="4" t="s">
        <v>167</v>
      </c>
      <c r="C110" s="2">
        <v>126.49998998843144</v>
      </c>
      <c r="E110" s="2">
        <v>-31.983339645420322</v>
      </c>
    </row>
    <row r="111" spans="1:5">
      <c r="A111" s="3">
        <v>12726</v>
      </c>
      <c r="B111" s="4" t="s">
        <v>167</v>
      </c>
      <c r="C111" s="2">
        <v>126.73332634405332</v>
      </c>
      <c r="E111" s="2">
        <v>-31.850007684654891</v>
      </c>
    </row>
    <row r="112" spans="1:5">
      <c r="A112" s="3">
        <v>12720</v>
      </c>
      <c r="B112" s="4" t="s">
        <v>167</v>
      </c>
      <c r="C112" s="2">
        <v>126.79999323297812</v>
      </c>
      <c r="E112" s="2">
        <v>-31.033333942613755</v>
      </c>
    </row>
    <row r="113" spans="1:5">
      <c r="A113" s="3">
        <v>12724</v>
      </c>
      <c r="B113" s="4" t="s">
        <v>167</v>
      </c>
      <c r="C113" s="2">
        <v>127.01666131600247</v>
      </c>
      <c r="E113" s="2">
        <v>-31.750007232882069</v>
      </c>
    </row>
    <row r="114" spans="1:5">
      <c r="A114" s="3">
        <v>12728</v>
      </c>
      <c r="B114" s="4" t="s">
        <v>167</v>
      </c>
      <c r="C114" s="2">
        <v>127.03332457729357</v>
      </c>
      <c r="E114" s="2">
        <v>-31.966673172226823</v>
      </c>
    </row>
    <row r="115" spans="1:5">
      <c r="A115" s="3">
        <v>12786</v>
      </c>
      <c r="B115" s="4" t="s">
        <v>167</v>
      </c>
      <c r="C115" s="2">
        <v>127.03332876663272</v>
      </c>
      <c r="E115" s="2">
        <v>-31.983341211053684</v>
      </c>
    </row>
    <row r="116" spans="1:5">
      <c r="A116" s="3">
        <v>12742</v>
      </c>
      <c r="B116" s="4" t="s">
        <v>167</v>
      </c>
      <c r="C116" s="2">
        <v>127.06665795023805</v>
      </c>
      <c r="E116" s="2">
        <v>-30.966666761633562</v>
      </c>
    </row>
    <row r="117" spans="1:5">
      <c r="A117" s="3">
        <v>12748</v>
      </c>
      <c r="B117" s="4" t="s">
        <v>167</v>
      </c>
      <c r="C117" s="2">
        <v>127.18333042201293</v>
      </c>
      <c r="E117" s="2">
        <v>-31.433337192970523</v>
      </c>
    </row>
    <row r="118" spans="1:5">
      <c r="A118" s="3">
        <v>12765</v>
      </c>
      <c r="B118" s="4" t="s">
        <v>167</v>
      </c>
      <c r="C118" s="2">
        <v>127.23332893757382</v>
      </c>
      <c r="E118" s="2">
        <v>-31.6666743406835</v>
      </c>
    </row>
    <row r="119" spans="1:5">
      <c r="A119" s="3">
        <v>12764</v>
      </c>
      <c r="B119" s="4" t="s">
        <v>167</v>
      </c>
      <c r="C119" s="2">
        <v>127.23333085592573</v>
      </c>
      <c r="E119" s="2">
        <v>-31.716673802217635</v>
      </c>
    </row>
    <row r="120" spans="1:5">
      <c r="A120" s="3">
        <v>12741</v>
      </c>
      <c r="B120" s="4" t="s">
        <v>167</v>
      </c>
      <c r="C120" s="2">
        <v>127.2333316265471</v>
      </c>
      <c r="E120" s="2">
        <v>-31.566674443270795</v>
      </c>
    </row>
    <row r="121" spans="1:5">
      <c r="A121" s="3">
        <v>12696</v>
      </c>
      <c r="B121" s="4" t="s">
        <v>167</v>
      </c>
      <c r="C121" s="2">
        <v>127.43332620260664</v>
      </c>
      <c r="E121" s="2">
        <v>-31.650000943509845</v>
      </c>
    </row>
    <row r="122" spans="1:5">
      <c r="A122" s="3">
        <v>12722</v>
      </c>
      <c r="B122" s="4" t="s">
        <v>167</v>
      </c>
      <c r="C122" s="2">
        <v>127.43332620260664</v>
      </c>
      <c r="E122" s="2">
        <v>-31.650000943509845</v>
      </c>
    </row>
    <row r="123" spans="1:5">
      <c r="A123" s="3">
        <v>12719</v>
      </c>
      <c r="B123" s="4" t="s">
        <v>167</v>
      </c>
      <c r="C123" s="2">
        <v>127.71666062389029</v>
      </c>
      <c r="E123" s="2">
        <v>-31.83333477294163</v>
      </c>
    </row>
    <row r="124" spans="1:5">
      <c r="A124" s="3">
        <v>12751</v>
      </c>
      <c r="B124" s="4" t="s">
        <v>167</v>
      </c>
      <c r="C124" s="2">
        <v>127.71666116878031</v>
      </c>
      <c r="E124" s="2">
        <v>-31.683340805906472</v>
      </c>
    </row>
    <row r="125" spans="1:5">
      <c r="A125" s="3">
        <v>12769</v>
      </c>
      <c r="B125" s="4" t="s">
        <v>167</v>
      </c>
      <c r="C125" s="2">
        <v>127.79999437308508</v>
      </c>
      <c r="E125" s="2">
        <v>-31.775005300990752</v>
      </c>
    </row>
    <row r="126" spans="1:5">
      <c r="A126" s="3">
        <v>12717</v>
      </c>
      <c r="B126" s="4" t="s">
        <v>167</v>
      </c>
      <c r="C126" s="2">
        <v>127.79999638903517</v>
      </c>
      <c r="E126" s="2">
        <v>-31.766669713229184</v>
      </c>
    </row>
    <row r="127" spans="1:5">
      <c r="A127" s="3">
        <v>12782</v>
      </c>
      <c r="B127" s="4" t="s">
        <v>167</v>
      </c>
      <c r="C127" s="2">
        <v>127.79999638903517</v>
      </c>
      <c r="E127" s="2">
        <v>-31.766669713229184</v>
      </c>
    </row>
    <row r="128" spans="1:5">
      <c r="A128" s="3">
        <v>12745</v>
      </c>
      <c r="B128" s="4" t="s">
        <v>167</v>
      </c>
      <c r="C128" s="2">
        <v>127.86665757613356</v>
      </c>
      <c r="E128" s="2">
        <v>-31.433338723018377</v>
      </c>
    </row>
    <row r="129" spans="1:5">
      <c r="A129" s="3">
        <v>12761</v>
      </c>
      <c r="B129" s="4" t="s">
        <v>167</v>
      </c>
      <c r="C129" s="2">
        <v>127.94999560222529</v>
      </c>
      <c r="E129" s="2">
        <v>-31.166670780983626</v>
      </c>
    </row>
    <row r="130" spans="1:5">
      <c r="A130" s="3">
        <v>12744</v>
      </c>
      <c r="B130" s="4" t="s">
        <v>167</v>
      </c>
      <c r="C130" s="2">
        <v>128.48332416590603</v>
      </c>
      <c r="E130" s="2">
        <v>-31.666673342579919</v>
      </c>
    </row>
    <row r="131" spans="1:5">
      <c r="A131" s="3">
        <v>12746</v>
      </c>
      <c r="B131" s="4" t="s">
        <v>167</v>
      </c>
      <c r="C131" s="2">
        <v>128.48332778339648</v>
      </c>
      <c r="E131" s="2">
        <v>-31.250001740621826</v>
      </c>
    </row>
    <row r="132" spans="1:5">
      <c r="A132" s="3">
        <v>12756</v>
      </c>
      <c r="B132" s="4" t="s">
        <v>167</v>
      </c>
      <c r="C132" s="2">
        <v>128.48332947992145</v>
      </c>
      <c r="E132" s="2">
        <v>-31.700000876470028</v>
      </c>
    </row>
    <row r="133" spans="1:5">
      <c r="A133" s="3">
        <v>12754</v>
      </c>
      <c r="B133" s="4" t="s">
        <v>167</v>
      </c>
      <c r="C133" s="2">
        <v>128.48333202306591</v>
      </c>
      <c r="E133" s="2">
        <v>-31.716673600125294</v>
      </c>
    </row>
    <row r="134" spans="1:5">
      <c r="A134" s="3">
        <v>12784</v>
      </c>
      <c r="B134" s="4" t="s">
        <v>167</v>
      </c>
      <c r="C134" s="2">
        <v>128.48333204168273</v>
      </c>
      <c r="E134" s="2">
        <v>-31.650000531334182</v>
      </c>
    </row>
    <row r="135" spans="1:5">
      <c r="A135" s="3">
        <v>12752</v>
      </c>
      <c r="B135" s="4" t="s">
        <v>167</v>
      </c>
      <c r="C135" s="2">
        <v>128.58333146886292</v>
      </c>
      <c r="E135" s="2">
        <v>-31.400005043494403</v>
      </c>
    </row>
    <row r="136" spans="1:5">
      <c r="A136" s="3">
        <v>13238</v>
      </c>
      <c r="B136" s="4" t="s">
        <v>167</v>
      </c>
      <c r="C136" s="2">
        <v>128.66666143104169</v>
      </c>
      <c r="E136" s="2">
        <v>-30.483338101848702</v>
      </c>
    </row>
    <row r="137" spans="1:5">
      <c r="A137" s="3">
        <v>12763</v>
      </c>
      <c r="B137" s="4" t="s">
        <v>167</v>
      </c>
      <c r="C137" s="2">
        <v>128.74998967975071</v>
      </c>
      <c r="E137" s="2">
        <v>-31.066674992483581</v>
      </c>
    </row>
    <row r="138" spans="1:5">
      <c r="A138" s="3">
        <v>12760</v>
      </c>
      <c r="B138" s="4" t="s">
        <v>167</v>
      </c>
      <c r="C138" s="2">
        <v>129.03333021296604</v>
      </c>
      <c r="E138" s="2">
        <v>-31.683341528055401</v>
      </c>
    </row>
    <row r="139" spans="1:5">
      <c r="A139" s="3">
        <v>12758</v>
      </c>
      <c r="B139" s="4" t="s">
        <v>167</v>
      </c>
      <c r="C139" s="2">
        <v>129.09999897198571</v>
      </c>
      <c r="E139" s="2">
        <v>-31.533337490179314</v>
      </c>
    </row>
    <row r="140" spans="1:5">
      <c r="A140" s="3">
        <v>12677</v>
      </c>
      <c r="B140" s="4" t="s">
        <v>167</v>
      </c>
      <c r="C140" s="2">
        <v>129.24999737521688</v>
      </c>
      <c r="E140" s="2">
        <v>-29.750005231182612</v>
      </c>
    </row>
    <row r="141" spans="1:5">
      <c r="A141" s="3">
        <v>12646</v>
      </c>
      <c r="B141" s="4" t="s">
        <v>167</v>
      </c>
      <c r="C141" s="2">
        <v>129.83332690118078</v>
      </c>
      <c r="E141" s="2">
        <v>-31.400003850662603</v>
      </c>
    </row>
    <row r="142" spans="1:5">
      <c r="A142" s="3">
        <v>12645</v>
      </c>
      <c r="B142" s="4" t="s">
        <v>167</v>
      </c>
      <c r="C142" s="2">
        <v>129.91665993942641</v>
      </c>
      <c r="E142" s="2">
        <v>-31.500003674349536</v>
      </c>
    </row>
    <row r="143" spans="1:5">
      <c r="A143" s="3">
        <v>12767</v>
      </c>
      <c r="B143" s="4" t="s">
        <v>167</v>
      </c>
      <c r="C143" s="2">
        <v>130.96666169629589</v>
      </c>
      <c r="E143" s="2">
        <v>-30.550008029157617</v>
      </c>
    </row>
    <row r="144" spans="1:5">
      <c r="A144" s="3">
        <v>12689</v>
      </c>
      <c r="B144" s="4" t="s">
        <v>167</v>
      </c>
      <c r="C144" s="2">
        <v>131.24999292928266</v>
      </c>
      <c r="E144" s="2">
        <v>-30.25000357260447</v>
      </c>
    </row>
    <row r="145" spans="1:5">
      <c r="A145" s="3">
        <v>12692</v>
      </c>
      <c r="B145" s="4" t="s">
        <v>167</v>
      </c>
      <c r="C145" s="2">
        <v>131.24999365145518</v>
      </c>
      <c r="E145" s="2">
        <v>-30.583341422105857</v>
      </c>
    </row>
    <row r="146" spans="1:5">
      <c r="A146" s="3">
        <v>12766</v>
      </c>
      <c r="B146" s="4" t="s">
        <v>167</v>
      </c>
      <c r="C146" s="2">
        <v>131.24999365145518</v>
      </c>
      <c r="E146" s="2">
        <v>-30.583341422105857</v>
      </c>
    </row>
    <row r="147" spans="1:5">
      <c r="A147" s="3">
        <v>12699</v>
      </c>
      <c r="B147" s="4" t="s">
        <v>167</v>
      </c>
      <c r="C147" s="2">
        <v>131.24999365145518</v>
      </c>
      <c r="E147" s="2">
        <v>-30.583341422105857</v>
      </c>
    </row>
    <row r="148" spans="1:5">
      <c r="A148" s="3">
        <v>12693</v>
      </c>
      <c r="B148" s="4" t="s">
        <v>167</v>
      </c>
      <c r="C148" s="2">
        <v>131.24999365145518</v>
      </c>
      <c r="E148" s="2">
        <v>-30.583341422105857</v>
      </c>
    </row>
    <row r="149" spans="1:5">
      <c r="A149" s="3">
        <v>12690</v>
      </c>
      <c r="B149" s="4" t="s">
        <v>167</v>
      </c>
      <c r="C149" s="2">
        <v>131.66665895522669</v>
      </c>
      <c r="E149" s="2">
        <v>-30.450002674936943</v>
      </c>
    </row>
    <row r="150" spans="1:5">
      <c r="A150" s="3">
        <v>12736</v>
      </c>
      <c r="B150" s="4" t="s">
        <v>167</v>
      </c>
      <c r="C150" s="2">
        <v>131.66665895522669</v>
      </c>
      <c r="E150" s="2">
        <v>-30.450002674936943</v>
      </c>
    </row>
    <row r="151" spans="1:5">
      <c r="A151" s="3">
        <v>12691</v>
      </c>
      <c r="B151" s="4" t="s">
        <v>167</v>
      </c>
      <c r="C151" s="2">
        <v>131.66665895522669</v>
      </c>
      <c r="E151" s="2">
        <v>-30.450002674936943</v>
      </c>
    </row>
    <row r="152" spans="1:5">
      <c r="A152" s="3">
        <v>12873</v>
      </c>
      <c r="B152" s="4" t="s">
        <v>167</v>
      </c>
      <c r="C152" s="2">
        <v>131.66666552269083</v>
      </c>
      <c r="E152" s="2">
        <v>-30.466669955720231</v>
      </c>
    </row>
    <row r="153" spans="1:5">
      <c r="A153" s="7">
        <v>12655</v>
      </c>
      <c r="B153" s="7" t="s">
        <v>167</v>
      </c>
      <c r="C153" s="5">
        <v>133.64999399999999</v>
      </c>
      <c r="E153" s="5">
        <v>-32.450006999999999</v>
      </c>
    </row>
    <row r="154" spans="1:5">
      <c r="A154" s="7">
        <v>12663</v>
      </c>
      <c r="B154" s="7" t="s">
        <v>167</v>
      </c>
      <c r="C154" s="5">
        <v>133.666664</v>
      </c>
      <c r="E154" s="5">
        <v>-32.450004</v>
      </c>
    </row>
    <row r="155" spans="1:5">
      <c r="A155" s="7">
        <v>12999</v>
      </c>
      <c r="B155" s="7" t="s">
        <v>167</v>
      </c>
      <c r="C155" s="5">
        <v>133.666664</v>
      </c>
      <c r="E155" s="5">
        <v>-32.450004</v>
      </c>
    </row>
    <row r="156" spans="1:5">
      <c r="A156" s="7">
        <v>12662</v>
      </c>
      <c r="B156" s="7" t="s">
        <v>167</v>
      </c>
      <c r="C156" s="5">
        <v>133.666664</v>
      </c>
      <c r="E156" s="5">
        <v>-32.450004</v>
      </c>
    </row>
    <row r="157" spans="1:5">
      <c r="A157" s="7">
        <v>12568</v>
      </c>
      <c r="B157" s="7" t="s">
        <v>167</v>
      </c>
      <c r="C157" s="5">
        <v>134.166662</v>
      </c>
      <c r="E157" s="5">
        <v>-27.966674999999999</v>
      </c>
    </row>
    <row r="158" spans="1:5">
      <c r="A158" s="7">
        <v>12733</v>
      </c>
      <c r="B158" s="7" t="s">
        <v>167</v>
      </c>
      <c r="C158" s="5">
        <v>136.26665800000001</v>
      </c>
      <c r="E158" s="5">
        <v>-34.516666999999998</v>
      </c>
    </row>
    <row r="159" spans="1:5">
      <c r="A159" s="7">
        <v>12657</v>
      </c>
      <c r="B159" s="7" t="s">
        <v>167</v>
      </c>
      <c r="C159" s="5">
        <v>136.99999600000001</v>
      </c>
      <c r="E159" s="5">
        <v>-28.500004000000001</v>
      </c>
    </row>
    <row r="160" spans="1:5">
      <c r="A160" s="7">
        <v>18472</v>
      </c>
      <c r="B160" s="7" t="s">
        <v>167</v>
      </c>
      <c r="C160" s="5">
        <v>138.37562500000001</v>
      </c>
      <c r="E160" s="5">
        <v>-30.258890999999998</v>
      </c>
    </row>
    <row r="161" spans="1:5">
      <c r="A161" s="7">
        <v>12660</v>
      </c>
      <c r="B161" s="7" t="s">
        <v>167</v>
      </c>
      <c r="C161" s="5">
        <v>138.41666599999999</v>
      </c>
      <c r="E161" s="5">
        <v>-30.550001000000002</v>
      </c>
    </row>
    <row r="162" spans="1:5">
      <c r="A162" s="7">
        <v>18497</v>
      </c>
      <c r="B162" s="7" t="s">
        <v>167</v>
      </c>
      <c r="C162" s="5">
        <v>138.78248400000001</v>
      </c>
      <c r="E162" s="5">
        <v>-29.389538999999999</v>
      </c>
    </row>
    <row r="163" spans="1:5">
      <c r="A163" s="7">
        <v>114484</v>
      </c>
      <c r="B163" s="7" t="s">
        <v>167</v>
      </c>
      <c r="C163" s="5">
        <v>138.90346500000001</v>
      </c>
      <c r="E163" s="5">
        <v>-31.104990999999998</v>
      </c>
    </row>
    <row r="164" spans="1:5">
      <c r="A164" s="7">
        <v>114192</v>
      </c>
      <c r="B164" s="7" t="s">
        <v>167</v>
      </c>
      <c r="C164" s="5">
        <v>139.27306999999999</v>
      </c>
      <c r="E164" s="5">
        <v>-30.174112000000001</v>
      </c>
    </row>
    <row r="165" spans="1:5">
      <c r="A165" s="7">
        <v>12658</v>
      </c>
      <c r="B165" s="7" t="s">
        <v>167</v>
      </c>
      <c r="C165" s="5">
        <v>139.28332900000001</v>
      </c>
      <c r="E165" s="5">
        <v>-30.966670000000001</v>
      </c>
    </row>
    <row r="166" spans="1:5">
      <c r="A166" s="7">
        <v>12574</v>
      </c>
      <c r="B166" s="7" t="s">
        <v>167</v>
      </c>
      <c r="C166" s="5">
        <v>141.94999300000001</v>
      </c>
      <c r="E166" s="5">
        <v>-33.950004</v>
      </c>
    </row>
    <row r="167" spans="1:5">
      <c r="A167" s="7">
        <v>12572</v>
      </c>
      <c r="B167" s="7" t="s">
        <v>167</v>
      </c>
      <c r="C167" s="5">
        <v>141.94999300000001</v>
      </c>
      <c r="E167" s="5">
        <v>-33.950004</v>
      </c>
    </row>
    <row r="168" spans="1:5">
      <c r="A168" s="7">
        <v>12573</v>
      </c>
      <c r="B168" s="7" t="s">
        <v>167</v>
      </c>
      <c r="C168" s="5">
        <v>141.94999300000001</v>
      </c>
      <c r="E168" s="5">
        <v>-33.950004</v>
      </c>
    </row>
    <row r="169" spans="1:5">
      <c r="A169" s="7">
        <v>12576</v>
      </c>
      <c r="B169" s="7" t="s">
        <v>167</v>
      </c>
      <c r="C169" s="5">
        <v>142.333324</v>
      </c>
      <c r="E169" s="5">
        <v>-32.666671999999998</v>
      </c>
    </row>
    <row r="170" spans="1:5">
      <c r="A170" s="12" t="s">
        <v>165</v>
      </c>
      <c r="B170" s="12" t="s">
        <v>167</v>
      </c>
      <c r="C170">
        <v>112.95</v>
      </c>
      <c r="E170" s="5">
        <v>-25.75</v>
      </c>
    </row>
    <row r="171" spans="1:5">
      <c r="A171" s="12" t="s">
        <v>165</v>
      </c>
      <c r="B171" s="12" t="s">
        <v>167</v>
      </c>
      <c r="C171">
        <v>113.1</v>
      </c>
      <c r="E171" s="5">
        <v>-25.966999999999999</v>
      </c>
    </row>
    <row r="172" spans="1:5">
      <c r="A172" s="12" t="s">
        <v>165</v>
      </c>
      <c r="B172" s="12" t="s">
        <v>167</v>
      </c>
      <c r="C172">
        <v>113.3</v>
      </c>
      <c r="E172" s="5">
        <v>-26.4</v>
      </c>
    </row>
    <row r="173" spans="1:5">
      <c r="A173" s="12" t="s">
        <v>165</v>
      </c>
      <c r="B173" s="12" t="s">
        <v>167</v>
      </c>
      <c r="C173">
        <v>113.43300000000001</v>
      </c>
      <c r="E173" s="5">
        <v>-24.117000000000001</v>
      </c>
    </row>
    <row r="174" spans="1:5">
      <c r="A174" s="12" t="s">
        <v>165</v>
      </c>
      <c r="B174" s="12" t="s">
        <v>167</v>
      </c>
      <c r="C174">
        <v>113.583</v>
      </c>
      <c r="E174" s="5">
        <v>-25.632999999999999</v>
      </c>
    </row>
    <row r="175" spans="1:5">
      <c r="A175" s="12" t="s">
        <v>165</v>
      </c>
      <c r="B175" s="12" t="s">
        <v>167</v>
      </c>
      <c r="C175">
        <v>113.68300000000001</v>
      </c>
      <c r="E175" s="5">
        <v>-26.6</v>
      </c>
    </row>
    <row r="176" spans="1:5">
      <c r="A176" s="12" t="s">
        <v>165</v>
      </c>
      <c r="B176" s="12" t="s">
        <v>167</v>
      </c>
      <c r="C176">
        <v>113.8</v>
      </c>
      <c r="E176" s="5">
        <v>-23.117000000000001</v>
      </c>
    </row>
    <row r="177" spans="1:6">
      <c r="A177" s="12" t="s">
        <v>165</v>
      </c>
      <c r="B177" s="12" t="s">
        <v>167</v>
      </c>
      <c r="C177">
        <v>114.1</v>
      </c>
      <c r="E177" s="5">
        <v>-27.832999999999998</v>
      </c>
    </row>
    <row r="178" spans="1:6">
      <c r="A178" s="12" t="s">
        <v>165</v>
      </c>
      <c r="B178" s="12" t="s">
        <v>167</v>
      </c>
      <c r="C178">
        <v>114.283</v>
      </c>
      <c r="E178" s="5">
        <v>-25.983000000000001</v>
      </c>
    </row>
    <row r="179" spans="1:6">
      <c r="A179" s="12" t="s">
        <v>165</v>
      </c>
      <c r="B179" s="12" t="s">
        <v>167</v>
      </c>
      <c r="C179">
        <v>115.617</v>
      </c>
      <c r="E179" s="5">
        <v>-28.117000000000001</v>
      </c>
    </row>
    <row r="180" spans="1:6">
      <c r="A180" s="12" t="s">
        <v>165</v>
      </c>
      <c r="B180" s="12" t="s">
        <v>167</v>
      </c>
      <c r="C180">
        <v>117.18300000000001</v>
      </c>
      <c r="E180" s="5">
        <v>-28.132999999999999</v>
      </c>
    </row>
    <row r="181" spans="1:6">
      <c r="A181" s="12" t="s">
        <v>165</v>
      </c>
      <c r="B181" s="12" t="s">
        <v>167</v>
      </c>
      <c r="C181">
        <v>117.7</v>
      </c>
      <c r="E181" s="5">
        <v>-26.917000000000002</v>
      </c>
    </row>
    <row r="182" spans="1:6">
      <c r="A182" s="12" t="s">
        <v>165</v>
      </c>
      <c r="B182" s="12" t="s">
        <v>167</v>
      </c>
      <c r="C182">
        <v>118.31699999999999</v>
      </c>
      <c r="E182" s="5">
        <v>-29.016999999999999</v>
      </c>
    </row>
    <row r="183" spans="1:6">
      <c r="A183" s="12" t="s">
        <v>165</v>
      </c>
      <c r="B183" s="12" t="s">
        <v>167</v>
      </c>
      <c r="C183">
        <v>119.367</v>
      </c>
      <c r="E183" s="5">
        <v>-29.367000000000001</v>
      </c>
    </row>
    <row r="184" spans="1:6">
      <c r="A184" s="12" t="s">
        <v>165</v>
      </c>
      <c r="B184" s="12" t="s">
        <v>167</v>
      </c>
      <c r="C184">
        <v>120.3</v>
      </c>
      <c r="E184" s="5">
        <v>-28.117000000000001</v>
      </c>
    </row>
    <row r="185" spans="1:6">
      <c r="A185" s="12" t="s">
        <v>165</v>
      </c>
      <c r="B185" s="12" t="s">
        <v>167</v>
      </c>
      <c r="C185">
        <v>121.31699999999999</v>
      </c>
      <c r="E185" s="5">
        <v>-30.9</v>
      </c>
    </row>
    <row r="186" spans="1:6">
      <c r="A186" s="12" t="s">
        <v>165</v>
      </c>
      <c r="B186" s="12" t="s">
        <v>167</v>
      </c>
      <c r="C186">
        <v>121.633</v>
      </c>
      <c r="E186" s="5">
        <v>-29.516999999999999</v>
      </c>
    </row>
    <row r="187" spans="1:6">
      <c r="A187" s="12" t="s">
        <v>165</v>
      </c>
      <c r="B187" s="12" t="s">
        <v>167</v>
      </c>
      <c r="C187">
        <v>128.667</v>
      </c>
      <c r="E187" s="5">
        <v>-30.483000000000001</v>
      </c>
    </row>
    <row r="188" spans="1:6">
      <c r="A188" s="7" t="s">
        <v>159</v>
      </c>
      <c r="B188" s="7" t="s">
        <v>160</v>
      </c>
      <c r="C188" s="5">
        <v>134.39998</v>
      </c>
      <c r="F188" s="5">
        <v>-23.2666</v>
      </c>
    </row>
    <row r="189" spans="1:6">
      <c r="A189" s="7" t="s">
        <v>159</v>
      </c>
      <c r="B189" s="7" t="s">
        <v>160</v>
      </c>
      <c r="C189" s="5">
        <v>134.33331999999999</v>
      </c>
      <c r="F189" s="5">
        <v>-23.61664</v>
      </c>
    </row>
    <row r="190" spans="1:6">
      <c r="A190" s="7" t="s">
        <v>159</v>
      </c>
      <c r="B190" s="7" t="s">
        <v>160</v>
      </c>
      <c r="C190" s="5">
        <v>137.251667</v>
      </c>
      <c r="F190" s="5">
        <v>-22</v>
      </c>
    </row>
    <row r="191" spans="1:6">
      <c r="A191" s="7" t="s">
        <v>159</v>
      </c>
      <c r="B191" s="7" t="s">
        <v>160</v>
      </c>
      <c r="C191" s="5">
        <v>137.32055600000001</v>
      </c>
      <c r="F191" s="5">
        <v>-22.004444444444399</v>
      </c>
    </row>
    <row r="192" spans="1:6">
      <c r="A192" s="6">
        <v>12622</v>
      </c>
      <c r="B192" s="4" t="s">
        <v>161</v>
      </c>
      <c r="C192" s="2">
        <v>124.9999945289191</v>
      </c>
      <c r="F192" s="2">
        <v>-25.066671958656542</v>
      </c>
    </row>
    <row r="193" spans="1:6">
      <c r="A193" s="6">
        <v>12623</v>
      </c>
      <c r="B193" s="4" t="s">
        <v>161</v>
      </c>
      <c r="C193" s="2">
        <v>125.06665702887992</v>
      </c>
      <c r="F193" s="2">
        <v>-25.183336997400581</v>
      </c>
    </row>
    <row r="194" spans="1:6">
      <c r="A194" s="6">
        <v>12624</v>
      </c>
      <c r="B194" s="4" t="s">
        <v>161</v>
      </c>
      <c r="C194" s="2">
        <v>125.29721833570987</v>
      </c>
      <c r="F194" s="2">
        <v>-25.550001401957275</v>
      </c>
    </row>
    <row r="195" spans="1:6">
      <c r="A195" s="6">
        <v>12711</v>
      </c>
      <c r="B195" s="4" t="s">
        <v>161</v>
      </c>
      <c r="C195" s="2">
        <v>125.3333303540751</v>
      </c>
      <c r="F195" s="2">
        <v>-31.016668112708739</v>
      </c>
    </row>
    <row r="196" spans="1:6">
      <c r="A196" s="6">
        <v>12628</v>
      </c>
      <c r="B196" s="4" t="s">
        <v>161</v>
      </c>
      <c r="C196" s="2">
        <v>125.41555376724865</v>
      </c>
      <c r="F196" s="2">
        <v>-26.961112555242494</v>
      </c>
    </row>
    <row r="197" spans="1:6">
      <c r="A197" s="6">
        <v>12598</v>
      </c>
      <c r="B197" s="4" t="s">
        <v>161</v>
      </c>
      <c r="C197" s="2">
        <v>125.49999846869389</v>
      </c>
      <c r="F197" s="2">
        <v>-25.716670659143855</v>
      </c>
    </row>
    <row r="198" spans="1:6">
      <c r="A198" s="6">
        <v>12625</v>
      </c>
      <c r="B198" s="4" t="s">
        <v>161</v>
      </c>
      <c r="C198" s="2">
        <v>125.54999282574879</v>
      </c>
      <c r="F198" s="2">
        <v>-25.247227329824295</v>
      </c>
    </row>
    <row r="199" spans="1:6">
      <c r="A199" s="6">
        <v>12593</v>
      </c>
      <c r="B199" s="4" t="s">
        <v>161</v>
      </c>
      <c r="C199" s="2">
        <v>125.54999364908331</v>
      </c>
      <c r="F199" s="2">
        <v>-25.650005663212461</v>
      </c>
    </row>
    <row r="200" spans="1:6">
      <c r="A200" s="6">
        <v>12673</v>
      </c>
      <c r="B200" s="4" t="s">
        <v>161</v>
      </c>
      <c r="C200" s="2">
        <v>125.58332539322357</v>
      </c>
      <c r="F200" s="2">
        <v>-25.05000248417204</v>
      </c>
    </row>
    <row r="201" spans="1:6">
      <c r="A201" s="6">
        <v>12649</v>
      </c>
      <c r="B201" s="4" t="s">
        <v>161</v>
      </c>
      <c r="C201" s="2">
        <v>125.61666569537789</v>
      </c>
      <c r="F201" s="2">
        <v>-27.100003909878268</v>
      </c>
    </row>
    <row r="202" spans="1:6">
      <c r="A202" s="6">
        <v>12651</v>
      </c>
      <c r="B202" s="4" t="s">
        <v>161</v>
      </c>
      <c r="C202" s="2">
        <v>125.6666570788952</v>
      </c>
      <c r="F202" s="2">
        <v>-26.850007105790201</v>
      </c>
    </row>
    <row r="203" spans="1:6">
      <c r="A203" s="6">
        <v>12629</v>
      </c>
      <c r="B203" s="4" t="s">
        <v>161</v>
      </c>
      <c r="C203" s="2">
        <v>125.6666570788952</v>
      </c>
      <c r="F203" s="2">
        <v>-26.850007105790201</v>
      </c>
    </row>
    <row r="204" spans="1:6">
      <c r="A204" s="6">
        <v>12595</v>
      </c>
      <c r="B204" s="4" t="s">
        <v>161</v>
      </c>
      <c r="C204" s="2">
        <v>125.86666517263507</v>
      </c>
      <c r="F204" s="2">
        <v>-26.60000359388658</v>
      </c>
    </row>
    <row r="205" spans="1:6">
      <c r="A205" s="6">
        <v>12626</v>
      </c>
      <c r="B205" s="4" t="s">
        <v>161</v>
      </c>
      <c r="C205" s="2">
        <v>125.93054814769393</v>
      </c>
      <c r="F205" s="2">
        <v>-25.772228340572386</v>
      </c>
    </row>
    <row r="206" spans="1:6">
      <c r="A206" s="6">
        <v>12681</v>
      </c>
      <c r="B206" s="4" t="s">
        <v>161</v>
      </c>
      <c r="C206" s="2">
        <v>125.94999782674233</v>
      </c>
      <c r="F206" s="2">
        <v>-26.783336069980294</v>
      </c>
    </row>
    <row r="207" spans="1:6">
      <c r="A207" s="6">
        <v>12704</v>
      </c>
      <c r="B207" s="4" t="s">
        <v>161</v>
      </c>
      <c r="C207" s="2">
        <v>125.96666280727479</v>
      </c>
      <c r="F207" s="2">
        <v>-26.050008780811122</v>
      </c>
    </row>
    <row r="208" spans="1:6">
      <c r="A208" s="3">
        <v>12596</v>
      </c>
      <c r="B208" s="4" t="s">
        <v>161</v>
      </c>
      <c r="C208" s="2">
        <v>126.01666007319861</v>
      </c>
      <c r="F208" s="2">
        <v>-26.516670009519153</v>
      </c>
    </row>
    <row r="209" spans="1:6">
      <c r="A209" s="3">
        <v>12631</v>
      </c>
      <c r="B209" s="4" t="s">
        <v>161</v>
      </c>
      <c r="C209" s="2">
        <v>126.01666007319861</v>
      </c>
      <c r="F209" s="2">
        <v>-26.516670009519153</v>
      </c>
    </row>
    <row r="210" spans="1:6">
      <c r="A210" s="3">
        <v>12650</v>
      </c>
      <c r="B210" s="4" t="s">
        <v>161</v>
      </c>
      <c r="C210" s="2">
        <v>126.08332714181746</v>
      </c>
      <c r="F210" s="2">
        <v>-28.30000836453808</v>
      </c>
    </row>
    <row r="211" spans="1:6">
      <c r="A211" s="3">
        <v>12627</v>
      </c>
      <c r="B211" s="4" t="s">
        <v>161</v>
      </c>
      <c r="C211" s="2">
        <v>126.19999008634227</v>
      </c>
      <c r="F211" s="2">
        <v>-25.750004369324941</v>
      </c>
    </row>
    <row r="212" spans="1:6">
      <c r="A212" s="3">
        <v>12632</v>
      </c>
      <c r="B212" s="4" t="s">
        <v>161</v>
      </c>
      <c r="C212" s="2">
        <v>126.29165677112783</v>
      </c>
      <c r="F212" s="2">
        <v>-27.000001245503221</v>
      </c>
    </row>
    <row r="213" spans="1:6">
      <c r="A213" s="3">
        <v>12635</v>
      </c>
      <c r="B213" s="4" t="s">
        <v>161</v>
      </c>
      <c r="C213" s="2">
        <v>126.36665913208772</v>
      </c>
      <c r="F213" s="2">
        <v>-27.050003408329328</v>
      </c>
    </row>
    <row r="214" spans="1:6">
      <c r="A214" s="3">
        <v>12597</v>
      </c>
      <c r="B214" s="4" t="s">
        <v>161</v>
      </c>
      <c r="C214" s="2">
        <v>126.3666631663169</v>
      </c>
      <c r="F214" s="2">
        <v>-26.833334655980345</v>
      </c>
    </row>
    <row r="215" spans="1:6">
      <c r="A215" s="3">
        <v>12633</v>
      </c>
      <c r="B215" s="4" t="s">
        <v>161</v>
      </c>
      <c r="C215" s="2">
        <v>126.38055490359483</v>
      </c>
      <c r="F215" s="2">
        <v>-26.831950495181164</v>
      </c>
    </row>
    <row r="216" spans="1:6">
      <c r="A216" s="3">
        <v>12648</v>
      </c>
      <c r="B216" s="4" t="s">
        <v>161</v>
      </c>
      <c r="C216" s="2">
        <v>126.41666396185445</v>
      </c>
      <c r="F216" s="2">
        <v>-27.066667236916281</v>
      </c>
    </row>
    <row r="217" spans="1:6">
      <c r="A217" s="3">
        <v>12647</v>
      </c>
      <c r="B217" s="4" t="s">
        <v>161</v>
      </c>
      <c r="C217" s="2">
        <v>126.43332604726986</v>
      </c>
      <c r="F217" s="2">
        <v>-27.23333947293402</v>
      </c>
    </row>
    <row r="218" spans="1:6">
      <c r="A218" s="3">
        <v>12636</v>
      </c>
      <c r="B218" s="4" t="s">
        <v>161</v>
      </c>
      <c r="C218" s="2">
        <v>126.44999352967021</v>
      </c>
      <c r="F218" s="2">
        <v>-26.758333987917265</v>
      </c>
    </row>
    <row r="219" spans="1:6">
      <c r="A219" s="3">
        <v>12637</v>
      </c>
      <c r="B219" s="4" t="s">
        <v>161</v>
      </c>
      <c r="C219" s="2">
        <v>126.46665954275694</v>
      </c>
      <c r="F219" s="2">
        <v>-26.666673118023041</v>
      </c>
    </row>
    <row r="220" spans="1:6">
      <c r="A220" s="3">
        <v>12634</v>
      </c>
      <c r="B220" s="4" t="s">
        <v>161</v>
      </c>
      <c r="C220" s="2">
        <v>126.48332694917048</v>
      </c>
      <c r="F220" s="2">
        <v>-27.166672639859293</v>
      </c>
    </row>
    <row r="221" spans="1:6">
      <c r="A221" s="8">
        <v>12682</v>
      </c>
      <c r="B221" s="10" t="s">
        <v>161</v>
      </c>
      <c r="C221" s="2">
        <v>126.53332732470653</v>
      </c>
      <c r="F221" s="2">
        <v>-26.600004453533963</v>
      </c>
    </row>
    <row r="222" spans="1:6">
      <c r="A222" s="8">
        <v>12630</v>
      </c>
      <c r="B222" s="10" t="s">
        <v>161</v>
      </c>
      <c r="C222" s="2">
        <v>127.39999046266061</v>
      </c>
      <c r="F222" s="2">
        <v>-25.800006733827765</v>
      </c>
    </row>
    <row r="223" spans="1:6">
      <c r="A223" s="8">
        <v>12734</v>
      </c>
      <c r="B223" s="10" t="s">
        <v>161</v>
      </c>
      <c r="C223" s="2">
        <v>127.43333074617051</v>
      </c>
      <c r="F223" s="2">
        <v>-26.183335833102536</v>
      </c>
    </row>
    <row r="224" spans="1:6">
      <c r="A224" s="8">
        <v>12680</v>
      </c>
      <c r="B224" s="10" t="s">
        <v>161</v>
      </c>
      <c r="C224" s="2">
        <v>128.96666111051076</v>
      </c>
      <c r="F224" s="2">
        <v>-28.750002343816011</v>
      </c>
    </row>
    <row r="225" spans="1:6">
      <c r="A225" s="8">
        <v>12602</v>
      </c>
      <c r="B225" s="10" t="s">
        <v>161</v>
      </c>
      <c r="C225" s="2">
        <v>129.18333293449439</v>
      </c>
      <c r="F225" s="2">
        <v>-28.916667066488106</v>
      </c>
    </row>
    <row r="226" spans="1:6">
      <c r="A226" s="8">
        <v>12591</v>
      </c>
      <c r="B226" s="10" t="s">
        <v>161</v>
      </c>
      <c r="C226" s="2">
        <v>129.35832633238536</v>
      </c>
      <c r="F226" s="2">
        <v>-25.916673774814594</v>
      </c>
    </row>
    <row r="227" spans="1:6">
      <c r="A227" s="8">
        <v>12605</v>
      </c>
      <c r="B227" s="10" t="s">
        <v>161</v>
      </c>
      <c r="C227" s="2">
        <v>129.99999587618385</v>
      </c>
      <c r="F227" s="2">
        <v>-31.366675679256065</v>
      </c>
    </row>
    <row r="228" spans="1:6">
      <c r="A228" s="8">
        <v>12730</v>
      </c>
      <c r="B228" s="10" t="s">
        <v>161</v>
      </c>
      <c r="C228" s="2">
        <v>130.44999821321514</v>
      </c>
      <c r="F228" s="2">
        <v>-26.450008358447572</v>
      </c>
    </row>
    <row r="229" spans="1:6">
      <c r="A229" s="8">
        <v>12606</v>
      </c>
      <c r="B229" s="10" t="s">
        <v>161</v>
      </c>
      <c r="C229" s="2">
        <v>130.7083308667593</v>
      </c>
      <c r="F229" s="2">
        <v>-31.323619340093831</v>
      </c>
    </row>
    <row r="230" spans="1:6">
      <c r="A230" s="8">
        <v>12668</v>
      </c>
      <c r="B230" s="10" t="s">
        <v>161</v>
      </c>
      <c r="C230" s="2">
        <v>130.71665976135665</v>
      </c>
      <c r="F230" s="2">
        <v>-31.322227246634359</v>
      </c>
    </row>
    <row r="231" spans="1:6">
      <c r="A231" s="8">
        <v>12669</v>
      </c>
      <c r="B231" s="10" t="s">
        <v>161</v>
      </c>
      <c r="C231" s="2">
        <v>130.74165925441031</v>
      </c>
      <c r="F231" s="2">
        <v>-31.202778636990612</v>
      </c>
    </row>
    <row r="232" spans="1:6">
      <c r="A232" s="8">
        <v>12667</v>
      </c>
      <c r="B232" s="10" t="s">
        <v>161</v>
      </c>
      <c r="C232" s="2">
        <v>130.86526907670699</v>
      </c>
      <c r="F232" s="2">
        <v>-31.366672285473722</v>
      </c>
    </row>
    <row r="233" spans="1:6">
      <c r="A233" s="8">
        <v>12672</v>
      </c>
      <c r="B233" s="10" t="s">
        <v>161</v>
      </c>
      <c r="C233" s="2">
        <v>131.037496136968</v>
      </c>
      <c r="F233" s="2">
        <v>-31.248612038045145</v>
      </c>
    </row>
    <row r="234" spans="1:6">
      <c r="A234" s="8">
        <v>12670</v>
      </c>
      <c r="B234" s="10" t="s">
        <v>161</v>
      </c>
      <c r="C234" s="2">
        <v>131.04721791516886</v>
      </c>
      <c r="F234" s="2">
        <v>-31.155558249132323</v>
      </c>
    </row>
    <row r="235" spans="1:6">
      <c r="A235" s="8">
        <v>12665</v>
      </c>
      <c r="B235" s="10" t="s">
        <v>161</v>
      </c>
      <c r="C235" s="2">
        <v>131.07222127231648</v>
      </c>
      <c r="F235" s="2">
        <v>-31.294446991551716</v>
      </c>
    </row>
    <row r="236" spans="1:6">
      <c r="A236" s="8">
        <v>12666</v>
      </c>
      <c r="B236" s="10" t="s">
        <v>161</v>
      </c>
      <c r="C236" s="2">
        <v>131.38333078643194</v>
      </c>
      <c r="F236" s="2">
        <v>-31.027786226829548</v>
      </c>
    </row>
    <row r="237" spans="1:6">
      <c r="A237" s="8">
        <v>12671</v>
      </c>
      <c r="B237" s="10" t="s">
        <v>161</v>
      </c>
      <c r="C237" s="2">
        <v>131.38333305432221</v>
      </c>
      <c r="F237" s="2">
        <v>-31.033342176843497</v>
      </c>
    </row>
    <row r="238" spans="1:6">
      <c r="A238" s="1">
        <v>12600</v>
      </c>
      <c r="B238" s="1" t="s">
        <v>161</v>
      </c>
      <c r="C238" s="5">
        <v>132.43332799999999</v>
      </c>
      <c r="F238" s="5">
        <v>-27.033334</v>
      </c>
    </row>
    <row r="239" spans="1:6">
      <c r="A239" s="1">
        <v>12570</v>
      </c>
      <c r="B239" s="1" t="s">
        <v>161</v>
      </c>
      <c r="C239" s="5">
        <v>133.249999</v>
      </c>
      <c r="F239" s="5">
        <v>-26.583338999999999</v>
      </c>
    </row>
    <row r="240" spans="1:6">
      <c r="A240" s="1">
        <v>12617</v>
      </c>
      <c r="B240" s="1" t="s">
        <v>161</v>
      </c>
      <c r="C240" s="5">
        <v>133.26666499999999</v>
      </c>
      <c r="F240" s="5">
        <v>-26.566672000000001</v>
      </c>
    </row>
    <row r="241" spans="1:6">
      <c r="A241" s="1">
        <v>12616</v>
      </c>
      <c r="B241" s="1" t="s">
        <v>161</v>
      </c>
      <c r="C241" s="5">
        <v>133.44999899999999</v>
      </c>
      <c r="F241" s="5">
        <v>-26.983335</v>
      </c>
    </row>
    <row r="242" spans="1:6">
      <c r="A242" s="1">
        <v>12618</v>
      </c>
      <c r="B242" s="1" t="s">
        <v>161</v>
      </c>
      <c r="C242" s="5">
        <v>133.508332</v>
      </c>
      <c r="F242" s="5">
        <v>-26.950005999999998</v>
      </c>
    </row>
    <row r="243" spans="1:6">
      <c r="A243" s="1">
        <v>12620</v>
      </c>
      <c r="B243" s="1" t="s">
        <v>161</v>
      </c>
      <c r="C243" s="5">
        <v>133.74999099999999</v>
      </c>
      <c r="F243" s="5">
        <v>-26.950008</v>
      </c>
    </row>
    <row r="244" spans="1:6">
      <c r="A244" s="1">
        <v>12619</v>
      </c>
      <c r="B244" s="1" t="s">
        <v>161</v>
      </c>
      <c r="C244" s="5">
        <v>133.774991</v>
      </c>
      <c r="F244" s="5">
        <v>-26.041671999999998</v>
      </c>
    </row>
    <row r="245" spans="1:6">
      <c r="A245" s="1">
        <v>12638</v>
      </c>
      <c r="B245" s="1" t="s">
        <v>161</v>
      </c>
      <c r="C245" s="5">
        <v>133.89999800000001</v>
      </c>
      <c r="F245" s="5">
        <v>-25.891670999999999</v>
      </c>
    </row>
    <row r="246" spans="1:6">
      <c r="A246" s="1">
        <v>12588</v>
      </c>
      <c r="B246" s="1" t="s">
        <v>161</v>
      </c>
      <c r="C246" s="5">
        <v>133.89999800000001</v>
      </c>
      <c r="F246" s="5">
        <v>-25.800008999999999</v>
      </c>
    </row>
    <row r="247" spans="1:6">
      <c r="A247" s="1">
        <v>12639</v>
      </c>
      <c r="B247" s="1" t="s">
        <v>161</v>
      </c>
      <c r="C247" s="5">
        <v>133.94999200000001</v>
      </c>
      <c r="F247" s="5">
        <v>-25.883337000000001</v>
      </c>
    </row>
    <row r="248" spans="1:6">
      <c r="A248" s="1">
        <v>12640</v>
      </c>
      <c r="B248" s="1" t="s">
        <v>161</v>
      </c>
      <c r="C248" s="5">
        <v>134.07499300000001</v>
      </c>
      <c r="F248" s="5">
        <v>-25.958335999999999</v>
      </c>
    </row>
    <row r="249" spans="1:6">
      <c r="A249" s="1">
        <v>12697</v>
      </c>
      <c r="B249" s="1" t="s">
        <v>161</v>
      </c>
      <c r="C249" s="5">
        <v>134.083327</v>
      </c>
      <c r="F249" s="5">
        <v>-28.166668999999999</v>
      </c>
    </row>
    <row r="250" spans="1:6">
      <c r="A250" s="1">
        <v>12610</v>
      </c>
      <c r="B250" s="1" t="s">
        <v>161</v>
      </c>
      <c r="C250" s="5">
        <v>134.166662</v>
      </c>
      <c r="F250" s="5">
        <v>-27.966674999999999</v>
      </c>
    </row>
    <row r="251" spans="1:6">
      <c r="A251" s="1">
        <v>12609</v>
      </c>
      <c r="B251" s="1" t="s">
        <v>161</v>
      </c>
      <c r="C251" s="5">
        <v>134.18332599999999</v>
      </c>
      <c r="F251" s="5">
        <v>-27.966674999999999</v>
      </c>
    </row>
    <row r="252" spans="1:6">
      <c r="A252" s="1">
        <v>12599</v>
      </c>
      <c r="B252" s="1" t="s">
        <v>161</v>
      </c>
      <c r="C252" s="5">
        <v>134.208324</v>
      </c>
      <c r="F252" s="5">
        <v>-28.225002</v>
      </c>
    </row>
    <row r="253" spans="1:6">
      <c r="A253" s="1">
        <v>12603</v>
      </c>
      <c r="B253" s="1" t="s">
        <v>161</v>
      </c>
      <c r="C253" s="5">
        <v>134.24999099999999</v>
      </c>
      <c r="F253" s="5">
        <v>-28.183335</v>
      </c>
    </row>
    <row r="254" spans="1:6">
      <c r="A254" s="1">
        <v>12732</v>
      </c>
      <c r="B254" s="1" t="s">
        <v>161</v>
      </c>
      <c r="C254" s="5">
        <v>134.24999299999999</v>
      </c>
      <c r="F254" s="5">
        <v>-26.200005000000001</v>
      </c>
    </row>
    <row r="255" spans="1:6">
      <c r="A255" s="1">
        <v>12613</v>
      </c>
      <c r="B255" s="1" t="s">
        <v>161</v>
      </c>
      <c r="C255" s="5">
        <v>134.25832700000001</v>
      </c>
      <c r="F255" s="5">
        <v>-27.883338999999999</v>
      </c>
    </row>
    <row r="256" spans="1:6">
      <c r="A256" s="1">
        <v>12612</v>
      </c>
      <c r="B256" s="1" t="s">
        <v>161</v>
      </c>
      <c r="C256" s="5">
        <v>134.26665700000001</v>
      </c>
      <c r="F256" s="5">
        <v>-27.900002000000001</v>
      </c>
    </row>
    <row r="257" spans="1:6">
      <c r="A257" s="1">
        <v>12698</v>
      </c>
      <c r="B257" s="1" t="s">
        <v>161</v>
      </c>
      <c r="C257" s="5">
        <v>134.26666599999999</v>
      </c>
      <c r="F257" s="5">
        <v>-28.200006999999999</v>
      </c>
    </row>
    <row r="258" spans="1:6">
      <c r="A258" s="1">
        <v>12701</v>
      </c>
      <c r="B258" s="1" t="s">
        <v>161</v>
      </c>
      <c r="C258" s="5">
        <v>134.26666599999999</v>
      </c>
      <c r="F258" s="5">
        <v>-28.200006999999999</v>
      </c>
    </row>
    <row r="259" spans="1:6">
      <c r="A259" s="1">
        <v>12611</v>
      </c>
      <c r="B259" s="1" t="s">
        <v>161</v>
      </c>
      <c r="C259" s="5">
        <v>134.28332399999999</v>
      </c>
      <c r="F259" s="5">
        <v>-27.933336000000001</v>
      </c>
    </row>
    <row r="260" spans="1:6">
      <c r="A260" s="1">
        <v>12608</v>
      </c>
      <c r="B260" s="1" t="s">
        <v>161</v>
      </c>
      <c r="C260" s="5">
        <v>134.333326</v>
      </c>
      <c r="F260" s="5">
        <v>-28.025003000000002</v>
      </c>
    </row>
    <row r="261" spans="1:6">
      <c r="A261" s="1">
        <v>12707</v>
      </c>
      <c r="B261" s="1" t="s">
        <v>161</v>
      </c>
      <c r="C261" s="5">
        <v>134.33333200000001</v>
      </c>
      <c r="F261" s="5">
        <v>-28.533334</v>
      </c>
    </row>
    <row r="262" spans="1:6">
      <c r="A262" s="1">
        <v>107232</v>
      </c>
      <c r="B262" s="1" t="s">
        <v>161</v>
      </c>
      <c r="C262" s="5">
        <v>134.51948999999999</v>
      </c>
      <c r="F262" s="5">
        <v>-27.387250000000002</v>
      </c>
    </row>
    <row r="263" spans="1:6">
      <c r="A263" s="1">
        <v>12601</v>
      </c>
      <c r="B263" s="1" t="s">
        <v>161</v>
      </c>
      <c r="C263" s="5">
        <v>134.58332799999999</v>
      </c>
      <c r="F263" s="5">
        <v>-28.800001000000002</v>
      </c>
    </row>
    <row r="264" spans="1:6">
      <c r="A264" s="1">
        <v>12615</v>
      </c>
      <c r="B264" s="1" t="s">
        <v>161</v>
      </c>
      <c r="C264" s="5">
        <v>134.599997</v>
      </c>
      <c r="F264" s="5">
        <v>-27.700008</v>
      </c>
    </row>
    <row r="265" spans="1:6">
      <c r="A265" s="1">
        <v>12614</v>
      </c>
      <c r="B265" s="1" t="s">
        <v>161</v>
      </c>
      <c r="C265" s="5">
        <v>134.608328</v>
      </c>
      <c r="F265" s="5">
        <v>-27.900006999999999</v>
      </c>
    </row>
    <row r="266" spans="1:6">
      <c r="A266" s="1">
        <v>12702</v>
      </c>
      <c r="B266" s="1" t="s">
        <v>161</v>
      </c>
      <c r="C266" s="5">
        <v>134.749999</v>
      </c>
      <c r="F266" s="5">
        <v>-29.433342</v>
      </c>
    </row>
    <row r="267" spans="1:6">
      <c r="A267" s="1">
        <v>12587</v>
      </c>
      <c r="B267" s="1" t="s">
        <v>161</v>
      </c>
      <c r="C267" s="5">
        <v>135.199996</v>
      </c>
      <c r="F267" s="5">
        <v>-25.883341999999999</v>
      </c>
    </row>
    <row r="268" spans="1:6">
      <c r="A268" s="1">
        <v>12586</v>
      </c>
      <c r="B268" s="1" t="s">
        <v>161</v>
      </c>
      <c r="C268" s="5">
        <v>135.199996</v>
      </c>
      <c r="F268" s="5">
        <v>-25.883341999999999</v>
      </c>
    </row>
    <row r="269" spans="1:6">
      <c r="A269" s="1">
        <v>12664</v>
      </c>
      <c r="B269" s="1" t="s">
        <v>161</v>
      </c>
      <c r="C269" s="5">
        <v>135.43332799999999</v>
      </c>
      <c r="F269" s="5">
        <v>-26.216676</v>
      </c>
    </row>
    <row r="270" spans="1:6">
      <c r="A270" s="1">
        <v>378</v>
      </c>
      <c r="B270" s="1" t="s">
        <v>161</v>
      </c>
      <c r="C270" s="5">
        <v>135.694243</v>
      </c>
      <c r="F270" s="5">
        <v>-32.385579999999997</v>
      </c>
    </row>
    <row r="271" spans="1:6">
      <c r="A271" s="1">
        <v>12709</v>
      </c>
      <c r="B271" s="1" t="s">
        <v>161</v>
      </c>
      <c r="C271" s="5">
        <v>135.833325</v>
      </c>
      <c r="F271" s="5">
        <v>-34.583336000000003</v>
      </c>
    </row>
    <row r="272" spans="1:6">
      <c r="A272" s="1">
        <v>12706</v>
      </c>
      <c r="B272" s="1" t="s">
        <v>161</v>
      </c>
      <c r="C272" s="5">
        <v>135.99999399999999</v>
      </c>
      <c r="F272" s="5">
        <v>-27.666671000000001</v>
      </c>
    </row>
    <row r="273" spans="1:6">
      <c r="A273" s="1">
        <v>12607</v>
      </c>
      <c r="B273" s="1" t="s">
        <v>161</v>
      </c>
      <c r="C273" s="5">
        <v>136.333326</v>
      </c>
      <c r="F273" s="5">
        <v>-31.183337000000002</v>
      </c>
    </row>
    <row r="274" spans="1:6">
      <c r="A274" s="1">
        <v>12872</v>
      </c>
      <c r="B274" s="1" t="s">
        <v>161</v>
      </c>
      <c r="C274" s="5">
        <v>137.09999099999999</v>
      </c>
      <c r="F274" s="5">
        <v>-33.200001999999998</v>
      </c>
    </row>
    <row r="275" spans="1:6">
      <c r="A275" s="1">
        <v>12686</v>
      </c>
      <c r="B275" s="1" t="s">
        <v>161</v>
      </c>
      <c r="C275" s="5">
        <v>137.166662</v>
      </c>
      <c r="F275" s="5">
        <v>-33.016666999999998</v>
      </c>
    </row>
    <row r="276" spans="1:6">
      <c r="A276" s="1">
        <v>12685</v>
      </c>
      <c r="B276" s="1" t="s">
        <v>161</v>
      </c>
      <c r="C276" s="5">
        <v>137.166664</v>
      </c>
      <c r="F276" s="5">
        <v>-33.033341</v>
      </c>
    </row>
    <row r="277" spans="1:6">
      <c r="A277" s="1">
        <v>12687</v>
      </c>
      <c r="B277" s="1" t="s">
        <v>161</v>
      </c>
      <c r="C277" s="5">
        <v>137.16666499999999</v>
      </c>
      <c r="F277" s="5">
        <v>-33.050006000000003</v>
      </c>
    </row>
    <row r="278" spans="1:6">
      <c r="A278" s="1">
        <v>12705</v>
      </c>
      <c r="B278" s="1" t="s">
        <v>161</v>
      </c>
      <c r="C278" s="5">
        <v>137.43333100000001</v>
      </c>
      <c r="F278" s="5">
        <v>-32.750000999999997</v>
      </c>
    </row>
    <row r="279" spans="1:6">
      <c r="A279" s="1">
        <v>12653</v>
      </c>
      <c r="B279" s="1" t="s">
        <v>161</v>
      </c>
      <c r="C279" s="5">
        <v>137.49999500000001</v>
      </c>
      <c r="F279" s="5">
        <v>-29.500005000000002</v>
      </c>
    </row>
    <row r="280" spans="1:6">
      <c r="A280" s="1">
        <v>12675</v>
      </c>
      <c r="B280" s="1" t="s">
        <v>161</v>
      </c>
      <c r="C280" s="5">
        <v>138.06665799999999</v>
      </c>
      <c r="F280" s="5">
        <v>-32.083337999999998</v>
      </c>
    </row>
    <row r="281" spans="1:6">
      <c r="A281" s="1">
        <v>12652</v>
      </c>
      <c r="B281" s="1" t="s">
        <v>161</v>
      </c>
      <c r="C281" s="5">
        <v>138.41666599999999</v>
      </c>
      <c r="F281" s="5">
        <v>-30.550001000000002</v>
      </c>
    </row>
    <row r="282" spans="1:6">
      <c r="A282" s="1">
        <v>12737</v>
      </c>
      <c r="B282" s="1" t="s">
        <v>161</v>
      </c>
      <c r="C282" s="5">
        <v>138.74999600000001</v>
      </c>
      <c r="F282" s="5">
        <v>-31.500001999999999</v>
      </c>
    </row>
    <row r="283" spans="1:6">
      <c r="A283" s="1">
        <v>107226</v>
      </c>
      <c r="B283" s="1" t="s">
        <v>161</v>
      </c>
      <c r="C283" s="5">
        <v>138.77418599999999</v>
      </c>
      <c r="F283" s="5">
        <v>-29.392106999999999</v>
      </c>
    </row>
    <row r="284" spans="1:6">
      <c r="A284" s="1">
        <v>113906</v>
      </c>
      <c r="B284" s="1" t="s">
        <v>161</v>
      </c>
      <c r="C284" s="5">
        <v>138.81952899999999</v>
      </c>
      <c r="F284" s="5">
        <v>-30.340722</v>
      </c>
    </row>
    <row r="285" spans="1:6">
      <c r="A285" s="1">
        <v>12735</v>
      </c>
      <c r="B285" s="1" t="s">
        <v>161</v>
      </c>
      <c r="C285" s="5">
        <v>138.833325</v>
      </c>
      <c r="F285" s="5">
        <v>-31.500005999999999</v>
      </c>
    </row>
    <row r="286" spans="1:6">
      <c r="A286" s="1">
        <v>12654</v>
      </c>
      <c r="B286" s="1" t="s">
        <v>161</v>
      </c>
      <c r="C286" s="5">
        <v>138.916662</v>
      </c>
      <c r="F286" s="5">
        <v>-32.15</v>
      </c>
    </row>
    <row r="287" spans="1:6">
      <c r="A287" s="1">
        <v>12656</v>
      </c>
      <c r="B287" s="1" t="s">
        <v>161</v>
      </c>
      <c r="C287" s="5">
        <v>138.916662</v>
      </c>
      <c r="F287" s="5">
        <v>-32.15</v>
      </c>
    </row>
    <row r="288" spans="1:6">
      <c r="A288" s="1">
        <v>12676</v>
      </c>
      <c r="B288" s="1" t="s">
        <v>161</v>
      </c>
      <c r="C288" s="5">
        <v>138.916662</v>
      </c>
      <c r="F288" s="5">
        <v>-32.15</v>
      </c>
    </row>
    <row r="289" spans="1:6">
      <c r="A289" s="1">
        <v>12731</v>
      </c>
      <c r="B289" s="1" t="s">
        <v>161</v>
      </c>
      <c r="C289" s="5">
        <v>139.14999399999999</v>
      </c>
      <c r="F289" s="5">
        <v>-30.566666999999999</v>
      </c>
    </row>
    <row r="290" spans="1:6">
      <c r="A290" s="1">
        <v>12569</v>
      </c>
      <c r="B290" s="1" t="s">
        <v>161</v>
      </c>
      <c r="C290" s="5">
        <v>139.21666400000001</v>
      </c>
      <c r="F290" s="5">
        <v>-30.683335</v>
      </c>
    </row>
    <row r="291" spans="1:6">
      <c r="A291" s="1">
        <v>12683</v>
      </c>
      <c r="B291" s="1" t="s">
        <v>161</v>
      </c>
      <c r="C291" s="5">
        <v>139.266662</v>
      </c>
      <c r="F291" s="5">
        <v>-30.966673</v>
      </c>
    </row>
    <row r="292" spans="1:6">
      <c r="A292" s="1">
        <v>114227</v>
      </c>
      <c r="B292" s="1" t="s">
        <v>161</v>
      </c>
      <c r="C292" s="5">
        <v>139.273877</v>
      </c>
      <c r="F292" s="5">
        <v>-30.175476</v>
      </c>
    </row>
    <row r="293" spans="1:6">
      <c r="A293" s="1">
        <v>12604</v>
      </c>
      <c r="B293" s="1" t="s">
        <v>161</v>
      </c>
      <c r="C293" s="5">
        <v>139.28332499999999</v>
      </c>
      <c r="F293" s="5">
        <v>-30.666668000000001</v>
      </c>
    </row>
    <row r="294" spans="1:6">
      <c r="A294" s="1">
        <v>12694</v>
      </c>
      <c r="B294" s="1" t="s">
        <v>161</v>
      </c>
      <c r="C294" s="5">
        <v>140.166662</v>
      </c>
      <c r="F294" s="5">
        <v>-32.050001999999999</v>
      </c>
    </row>
    <row r="295" spans="1:6">
      <c r="A295" s="1">
        <v>6603</v>
      </c>
      <c r="B295" s="1" t="s">
        <v>161</v>
      </c>
      <c r="C295" s="5">
        <v>140.17833400000001</v>
      </c>
      <c r="F295" s="5">
        <v>-32.719478000000002</v>
      </c>
    </row>
    <row r="296" spans="1:6">
      <c r="A296" s="1">
        <v>12642</v>
      </c>
      <c r="B296" s="1" t="s">
        <v>161</v>
      </c>
      <c r="C296" s="5">
        <v>140.19999899999999</v>
      </c>
      <c r="F296" s="5">
        <v>-32.716669000000003</v>
      </c>
    </row>
    <row r="297" spans="1:6">
      <c r="A297" s="1">
        <v>12729</v>
      </c>
      <c r="B297" s="1" t="s">
        <v>161</v>
      </c>
      <c r="C297" s="5">
        <v>140.383332</v>
      </c>
      <c r="F297" s="5">
        <v>-34.225009</v>
      </c>
    </row>
    <row r="298" spans="1:6">
      <c r="A298" s="1">
        <v>12567</v>
      </c>
      <c r="B298" s="1" t="s">
        <v>161</v>
      </c>
      <c r="C298" s="5">
        <v>140.783331</v>
      </c>
      <c r="F298" s="5">
        <v>-37.833334000000001</v>
      </c>
    </row>
    <row r="299" spans="1:6">
      <c r="A299" s="1">
        <v>12710</v>
      </c>
      <c r="B299" s="1" t="s">
        <v>161</v>
      </c>
      <c r="C299" s="5">
        <v>140.916663</v>
      </c>
      <c r="F299" s="5">
        <v>-32.450007999999997</v>
      </c>
    </row>
    <row r="300" spans="1:6">
      <c r="A300" s="1">
        <v>12579</v>
      </c>
      <c r="B300" s="1" t="s">
        <v>161</v>
      </c>
      <c r="C300" s="5">
        <v>141.49999</v>
      </c>
      <c r="F300" s="5">
        <v>-31.183336000000001</v>
      </c>
    </row>
    <row r="301" spans="1:6">
      <c r="A301" s="1">
        <v>12582</v>
      </c>
      <c r="B301" s="1" t="s">
        <v>161</v>
      </c>
      <c r="C301" s="5">
        <v>141.766659</v>
      </c>
      <c r="F301" s="5">
        <v>-29.083341000000001</v>
      </c>
    </row>
    <row r="302" spans="1:6">
      <c r="A302" s="1">
        <v>12583</v>
      </c>
      <c r="B302" s="1" t="s">
        <v>161</v>
      </c>
      <c r="C302" s="5">
        <v>141.88332700000001</v>
      </c>
      <c r="F302" s="5">
        <v>-29.083337</v>
      </c>
    </row>
    <row r="303" spans="1:6">
      <c r="A303" s="1">
        <v>12584</v>
      </c>
      <c r="B303" s="1" t="s">
        <v>161</v>
      </c>
      <c r="C303" s="5">
        <v>141.94999100000001</v>
      </c>
      <c r="F303" s="5">
        <v>-29.033332999999999</v>
      </c>
    </row>
    <row r="304" spans="1:6">
      <c r="A304" s="1">
        <v>12577</v>
      </c>
      <c r="B304" s="1" t="s">
        <v>161</v>
      </c>
      <c r="C304" s="5">
        <v>142.333324</v>
      </c>
      <c r="F304" s="5">
        <v>-32.666671999999998</v>
      </c>
    </row>
    <row r="305" spans="1:6">
      <c r="A305" s="1">
        <v>12578</v>
      </c>
      <c r="B305" s="1" t="s">
        <v>161</v>
      </c>
      <c r="C305" s="5">
        <v>142.69999899999999</v>
      </c>
      <c r="F305" s="5">
        <v>-31.116669999999999</v>
      </c>
    </row>
    <row r="306" spans="1:6">
      <c r="A306" s="1" t="str">
        <f>FossilMiddens!A2</f>
        <v>ARLTP5</v>
      </c>
      <c r="B306" s="1" t="s">
        <v>161</v>
      </c>
      <c r="C306" s="5">
        <f>FossilMiddens!H2</f>
        <v>134.69999999999999</v>
      </c>
      <c r="E306" s="11"/>
      <c r="F306">
        <f>FossilMiddens!I2</f>
        <v>-23.45</v>
      </c>
    </row>
    <row r="307" spans="1:6">
      <c r="A307" s="1" t="str">
        <f>FossilMiddens!A3</f>
        <v>ARLT01</v>
      </c>
      <c r="B307" s="1" t="s">
        <v>161</v>
      </c>
      <c r="C307" s="5">
        <f>FossilMiddens!H3</f>
        <v>134.69999999999999</v>
      </c>
      <c r="E307" s="11"/>
      <c r="F307">
        <f>FossilMiddens!I3</f>
        <v>-23.45</v>
      </c>
    </row>
    <row r="308" spans="1:6">
      <c r="A308" s="1" t="str">
        <f>FossilMiddens!A4</f>
        <v>ARLTN15</v>
      </c>
      <c r="B308" s="1" t="s">
        <v>161</v>
      </c>
      <c r="C308" s="5">
        <f>FossilMiddens!H4</f>
        <v>134.69999999999999</v>
      </c>
      <c r="E308" s="11"/>
      <c r="F308">
        <f>FossilMiddens!I4</f>
        <v>-23.45</v>
      </c>
    </row>
    <row r="309" spans="1:6">
      <c r="A309" s="1" t="str">
        <f>FossilMiddens!A5</f>
        <v>ARLTH10</v>
      </c>
      <c r="B309" s="1" t="s">
        <v>161</v>
      </c>
      <c r="C309" s="5">
        <f>FossilMiddens!H5</f>
        <v>134.69999999999999</v>
      </c>
      <c r="E309" s="11"/>
      <c r="F309">
        <f>FossilMiddens!I5</f>
        <v>-23.45</v>
      </c>
    </row>
    <row r="310" spans="1:6">
      <c r="A310" s="1" t="str">
        <f>FossilMiddens!A6</f>
        <v>ARLTK2</v>
      </c>
      <c r="B310" s="1" t="s">
        <v>161</v>
      </c>
      <c r="C310" s="5">
        <f>FossilMiddens!H6</f>
        <v>134.69999999999999</v>
      </c>
      <c r="E310" s="11"/>
      <c r="F310">
        <f>FossilMiddens!I6</f>
        <v>-23.45</v>
      </c>
    </row>
    <row r="311" spans="1:6">
      <c r="A311" s="1" t="str">
        <f>FossilMiddens!A7</f>
        <v>ARLTG8</v>
      </c>
      <c r="B311" s="1" t="s">
        <v>161</v>
      </c>
      <c r="C311" s="5">
        <f>FossilMiddens!H7</f>
        <v>134.69999999999999</v>
      </c>
      <c r="E311" s="11"/>
      <c r="F311">
        <f>FossilMiddens!I7</f>
        <v>-23.45</v>
      </c>
    </row>
    <row r="312" spans="1:6">
      <c r="A312" s="1" t="str">
        <f>FossilMiddens!A8</f>
        <v>FinkeG15</v>
      </c>
      <c r="B312" s="1" t="s">
        <v>161</v>
      </c>
      <c r="C312" s="5">
        <f>FossilMiddens!H8</f>
        <v>132.19999999999999</v>
      </c>
      <c r="E312" s="11"/>
      <c r="F312">
        <f>FossilMiddens!I8</f>
        <v>-24.433333333333334</v>
      </c>
    </row>
    <row r="313" spans="1:6">
      <c r="A313" s="1" t="str">
        <f>FossilMiddens!A9</f>
        <v>FinkeI16</v>
      </c>
      <c r="B313" s="1" t="s">
        <v>161</v>
      </c>
      <c r="C313" s="5">
        <f>FossilMiddens!H9</f>
        <v>132.19999999999999</v>
      </c>
      <c r="E313" s="11"/>
      <c r="F313">
        <f>FossilMiddens!I9</f>
        <v>-24.433333333333334</v>
      </c>
    </row>
    <row r="314" spans="1:6">
      <c r="A314" s="1" t="str">
        <f>FossilMiddens!A10</f>
        <v>FinkeA22</v>
      </c>
      <c r="B314" s="1" t="s">
        <v>161</v>
      </c>
      <c r="C314" s="5">
        <f>FossilMiddens!H10</f>
        <v>132.19999999999999</v>
      </c>
      <c r="E314" s="11"/>
      <c r="F314">
        <f>FossilMiddens!I10</f>
        <v>-24.433333333333334</v>
      </c>
    </row>
    <row r="315" spans="1:6">
      <c r="A315" s="1" t="str">
        <f>FossilMiddens!A11</f>
        <v>FinkeH19</v>
      </c>
      <c r="B315" s="1" t="s">
        <v>161</v>
      </c>
      <c r="C315" s="5">
        <f>FossilMiddens!H11</f>
        <v>132.19999999999999</v>
      </c>
      <c r="E315" s="11"/>
      <c r="F315">
        <f>FossilMiddens!I11</f>
        <v>-24.433333333333334</v>
      </c>
    </row>
    <row r="316" spans="1:6">
      <c r="A316" s="1" t="str">
        <f>FossilMiddens!A12</f>
        <v>FinkeF4</v>
      </c>
      <c r="B316" s="1" t="s">
        <v>161</v>
      </c>
      <c r="C316" s="5">
        <f>FossilMiddens!H12</f>
        <v>132.19999999999999</v>
      </c>
      <c r="E316" s="11"/>
      <c r="F316">
        <f>FossilMiddens!I12</f>
        <v>-24.433333333333334</v>
      </c>
    </row>
    <row r="317" spans="1:6">
      <c r="A317" s="1" t="str">
        <f>FossilMiddens!A13</f>
        <v>Pearson2002</v>
      </c>
      <c r="B317" s="1" t="s">
        <v>161</v>
      </c>
      <c r="C317" s="5">
        <f>FossilMiddens!I13</f>
        <v>0</v>
      </c>
      <c r="E317" s="11"/>
      <c r="F317">
        <f>FossilMiddens!H13</f>
        <v>0</v>
      </c>
    </row>
    <row r="318" spans="1:6">
      <c r="A318" s="1" t="str">
        <f>FossilMiddens!A14</f>
        <v xml:space="preserve">Nelson et al (1990) , </v>
      </c>
      <c r="B318" s="1" t="s">
        <v>161</v>
      </c>
      <c r="C318" s="5">
        <f>FossilMiddens!I14</f>
        <v>-24</v>
      </c>
      <c r="E318" s="11"/>
      <c r="F318">
        <f>FossilMiddens!H14</f>
        <v>133</v>
      </c>
    </row>
    <row r="319" spans="1:6">
      <c r="A319" s="1" t="str">
        <f>FossilMiddens!A15</f>
        <v xml:space="preserve">Nelson et al (1990) , </v>
      </c>
      <c r="B319" s="1" t="s">
        <v>161</v>
      </c>
      <c r="C319" s="5">
        <f>FossilMiddens!I15</f>
        <v>-24</v>
      </c>
      <c r="E319" s="11"/>
      <c r="F319">
        <f>FossilMiddens!H15</f>
        <v>133</v>
      </c>
    </row>
    <row r="320" spans="1:6">
      <c r="A320" s="1" t="str">
        <f>FossilMiddens!A16</f>
        <v>M0236</v>
      </c>
      <c r="B320" s="1" t="s">
        <v>161</v>
      </c>
      <c r="C320" s="5">
        <f>FossilMiddens!I16</f>
        <v>-30.5</v>
      </c>
      <c r="E320" s="11"/>
      <c r="F320">
        <f>FossilMiddens!H16</f>
        <v>119.66666666666667</v>
      </c>
    </row>
    <row r="321" spans="1:6">
      <c r="A321" s="1" t="str">
        <f>FossilMiddens!A17</f>
        <v>CRA9</v>
      </c>
      <c r="B321" s="1" t="s">
        <v>161</v>
      </c>
      <c r="C321" s="5">
        <f>FossilMiddens!I17</f>
        <v>-23.5</v>
      </c>
      <c r="E321" s="11"/>
      <c r="F321">
        <f>FossilMiddens!H17</f>
        <v>134.5</v>
      </c>
    </row>
    <row r="322" spans="1:6">
      <c r="A322" s="1" t="str">
        <f>FossilMiddens!A18</f>
        <v>Berry (1993)</v>
      </c>
      <c r="B322" s="1" t="s">
        <v>161</v>
      </c>
      <c r="C322" s="5">
        <f>FossilMiddens!I18</f>
        <v>-24.316666666666666</v>
      </c>
      <c r="E322" s="11"/>
      <c r="F322">
        <f>FossilMiddens!H18</f>
        <v>131.68333333333334</v>
      </c>
    </row>
    <row r="323" spans="1:6">
      <c r="A323" s="1" t="str">
        <f>FossilMiddens!A19</f>
        <v>Berry (1993)</v>
      </c>
      <c r="B323" s="1" t="s">
        <v>161</v>
      </c>
      <c r="C323" s="5">
        <f>FossilMiddens!I19</f>
        <v>-24.316666666666666</v>
      </c>
      <c r="E323" s="11"/>
      <c r="F323">
        <f>FossilMiddens!H19</f>
        <v>131.68333333333334</v>
      </c>
    </row>
    <row r="324" spans="1:6">
      <c r="A324" s="1" t="str">
        <f>FossilMiddens!A20</f>
        <v>M0505</v>
      </c>
      <c r="B324" s="1" t="s">
        <v>161</v>
      </c>
      <c r="C324" s="5">
        <f>FossilMiddens!I20</f>
        <v>-25.05</v>
      </c>
      <c r="E324" s="11"/>
      <c r="F324">
        <f>FossilMiddens!H20</f>
        <v>124.98333333333333</v>
      </c>
    </row>
    <row r="325" spans="1:6">
      <c r="A325" s="1" t="str">
        <f>FossilMiddens!A21</f>
        <v>M05170b</v>
      </c>
      <c r="B325" s="1" t="s">
        <v>161</v>
      </c>
      <c r="C325" s="5">
        <f>FossilMiddens!I21</f>
        <v>-25.05</v>
      </c>
      <c r="E325" s="11"/>
      <c r="F325">
        <f>FossilMiddens!H21</f>
        <v>124.98333333333333</v>
      </c>
    </row>
    <row r="326" spans="1:6">
      <c r="A326" s="1" t="str">
        <f>FossilMiddens!A22</f>
        <v>M06</v>
      </c>
      <c r="B326" s="1" t="s">
        <v>161</v>
      </c>
      <c r="C326" s="5">
        <f>FossilMiddens!I22</f>
        <v>-25.05</v>
      </c>
      <c r="E326" s="11"/>
      <c r="F326">
        <f>FossilMiddens!H22</f>
        <v>124.98333333333333</v>
      </c>
    </row>
    <row r="327" spans="1:6">
      <c r="A327" s="1" t="str">
        <f>FossilMiddens!A23</f>
        <v>M0652</v>
      </c>
      <c r="B327" s="1" t="s">
        <v>161</v>
      </c>
      <c r="C327" s="5">
        <f>FossilMiddens!I23</f>
        <v>-25.05</v>
      </c>
      <c r="E327" s="11"/>
      <c r="F327">
        <f>FossilMiddens!H23</f>
        <v>124.98333333333333</v>
      </c>
    </row>
    <row r="328" spans="1:6">
      <c r="A328" s="1" t="str">
        <f>FossilMiddens!A24</f>
        <v>M07</v>
      </c>
      <c r="B328" s="1" t="s">
        <v>161</v>
      </c>
      <c r="C328" s="5">
        <f>FossilMiddens!I24</f>
        <v>-25.05</v>
      </c>
      <c r="E328" s="11"/>
      <c r="F328">
        <f>FossilMiddens!H24</f>
        <v>124.98333333333333</v>
      </c>
    </row>
    <row r="329" spans="1:6">
      <c r="A329" s="1" t="str">
        <f>FossilMiddens!A25</f>
        <v>M07</v>
      </c>
      <c r="B329" s="1" t="s">
        <v>161</v>
      </c>
      <c r="C329" s="5">
        <f>FossilMiddens!I25</f>
        <v>-25.05</v>
      </c>
      <c r="E329" s="11"/>
      <c r="F329">
        <f>FossilMiddens!H25</f>
        <v>124.98333333333333</v>
      </c>
    </row>
    <row r="330" spans="1:6">
      <c r="A330" s="1" t="str">
        <f>FossilMiddens!A26</f>
        <v>USA127</v>
      </c>
      <c r="B330" s="1" t="s">
        <v>161</v>
      </c>
      <c r="C330" s="5">
        <f>FossilMiddens!I26</f>
        <v>-25.83</v>
      </c>
      <c r="E330" s="11"/>
      <c r="F330">
        <f>FossilMiddens!H26</f>
        <v>134.19833333333332</v>
      </c>
    </row>
    <row r="331" spans="1:6">
      <c r="A331" s="1" t="str">
        <f>FossilMiddens!A27</f>
        <v>USA131</v>
      </c>
      <c r="B331" s="1" t="s">
        <v>161</v>
      </c>
      <c r="C331" s="5">
        <f>FossilMiddens!I27</f>
        <v>-25.83</v>
      </c>
      <c r="E331" s="11"/>
      <c r="F331">
        <f>FossilMiddens!H27</f>
        <v>134.19833333333332</v>
      </c>
    </row>
    <row r="332" spans="1:6">
      <c r="A332" s="1" t="str">
        <f>FossilMiddens!A28</f>
        <v>USA16</v>
      </c>
      <c r="B332" s="1" t="s">
        <v>161</v>
      </c>
      <c r="C332" s="5">
        <f>FossilMiddens!I28</f>
        <v>-25.83</v>
      </c>
      <c r="E332" s="11"/>
      <c r="F332">
        <f>FossilMiddens!H28</f>
        <v>134.19833333333332</v>
      </c>
    </row>
    <row r="333" spans="1:6">
      <c r="A333" s="1" t="str">
        <f>FossilMiddens!A29</f>
        <v>USA22</v>
      </c>
      <c r="B333" s="1" t="s">
        <v>161</v>
      </c>
      <c r="C333" s="5">
        <f>FossilMiddens!I29</f>
        <v>-25.83</v>
      </c>
      <c r="E333" s="11"/>
      <c r="F333">
        <f>FossilMiddens!H29</f>
        <v>134.19833333333332</v>
      </c>
    </row>
    <row r="334" spans="1:6">
      <c r="A334" s="1" t="str">
        <f>FossilMiddens!A30</f>
        <v>USB10</v>
      </c>
      <c r="B334" s="1" t="s">
        <v>161</v>
      </c>
      <c r="C334" s="5">
        <f>FossilMiddens!I30</f>
        <v>-25.83</v>
      </c>
      <c r="E334" s="11"/>
      <c r="F334">
        <f>FossilMiddens!H30</f>
        <v>134.19833333333332</v>
      </c>
    </row>
    <row r="335" spans="1:6">
      <c r="A335" s="1" t="str">
        <f>FossilMiddens!A31</f>
        <v>USB10</v>
      </c>
      <c r="B335" s="1" t="s">
        <v>161</v>
      </c>
      <c r="C335" s="5">
        <f>FossilMiddens!I31</f>
        <v>-25.83</v>
      </c>
      <c r="E335" s="11"/>
      <c r="F335">
        <f>FossilMiddens!H31</f>
        <v>134.19833333333332</v>
      </c>
    </row>
    <row r="336" spans="1:6">
      <c r="A336" s="1" t="str">
        <f>FossilMiddens!A32</f>
        <v>USB11</v>
      </c>
      <c r="B336" s="1" t="s">
        <v>161</v>
      </c>
      <c r="C336" s="5">
        <f>FossilMiddens!I32</f>
        <v>-25.83</v>
      </c>
      <c r="E336" s="11"/>
      <c r="F336">
        <f>FossilMiddens!H32</f>
        <v>134.19833333333332</v>
      </c>
    </row>
    <row r="337" spans="1:6">
      <c r="A337" s="1" t="str">
        <f>FossilMiddens!A33</f>
        <v>USB13</v>
      </c>
      <c r="B337" s="1" t="s">
        <v>161</v>
      </c>
      <c r="C337" s="5">
        <f>FossilMiddens!I33</f>
        <v>-25.83</v>
      </c>
      <c r="E337" s="11"/>
      <c r="F337">
        <f>FossilMiddens!H33</f>
        <v>134.19833333333332</v>
      </c>
    </row>
    <row r="338" spans="1:6">
      <c r="A338" s="1" t="str">
        <f>FossilMiddens!A34</f>
        <v>USC191</v>
      </c>
      <c r="B338" s="1" t="s">
        <v>161</v>
      </c>
      <c r="C338" s="5">
        <f>FossilMiddens!I34</f>
        <v>-25.83</v>
      </c>
      <c r="E338" s="11"/>
      <c r="F338">
        <f>FossilMiddens!H34</f>
        <v>134.19833333333332</v>
      </c>
    </row>
    <row r="339" spans="1:6">
      <c r="A339" s="1" t="str">
        <f>FossilMiddens!A35</f>
        <v>USC31</v>
      </c>
      <c r="B339" s="1" t="s">
        <v>161</v>
      </c>
      <c r="C339" s="5">
        <f>FossilMiddens!I35</f>
        <v>-25.83</v>
      </c>
      <c r="E339" s="11"/>
      <c r="F339">
        <f>FossilMiddens!H35</f>
        <v>134.19833333333332</v>
      </c>
    </row>
    <row r="340" spans="1:6">
      <c r="A340" s="1" t="str">
        <f>FossilMiddens!A36</f>
        <v>USC39</v>
      </c>
      <c r="B340" s="1" t="s">
        <v>161</v>
      </c>
      <c r="C340" s="5">
        <f>FossilMiddens!I36</f>
        <v>-25.83</v>
      </c>
      <c r="E340" s="11"/>
      <c r="F340">
        <f>FossilMiddens!H36</f>
        <v>134.19833333333332</v>
      </c>
    </row>
    <row r="341" spans="1:6">
      <c r="A341" s="1" t="str">
        <f>FossilMiddens!A37</f>
        <v>USC89</v>
      </c>
      <c r="B341" s="1" t="s">
        <v>161</v>
      </c>
      <c r="C341" s="5">
        <f>FossilMiddens!I37</f>
        <v>-25.83</v>
      </c>
      <c r="E341" s="11"/>
      <c r="F341">
        <f>FossilMiddens!H37</f>
        <v>134.19833333333332</v>
      </c>
    </row>
    <row r="342" spans="1:6">
      <c r="A342" s="1" t="str">
        <f>FossilMiddens!A38</f>
        <v>USC99</v>
      </c>
      <c r="B342" s="1" t="s">
        <v>161</v>
      </c>
      <c r="C342" s="5">
        <f>FossilMiddens!I38</f>
        <v>-25.83</v>
      </c>
      <c r="E342" s="11"/>
      <c r="F342">
        <f>FossilMiddens!H38</f>
        <v>134.19833333333332</v>
      </c>
    </row>
    <row r="343" spans="1:6">
      <c r="A343" s="1" t="str">
        <f>FossilMiddens!A39</f>
        <v>USE72</v>
      </c>
      <c r="B343" s="1" t="s">
        <v>161</v>
      </c>
      <c r="C343" s="5">
        <f>FossilMiddens!I39</f>
        <v>-25.83</v>
      </c>
      <c r="E343" s="11"/>
      <c r="F343">
        <f>FossilMiddens!H39</f>
        <v>134.19833333333332</v>
      </c>
    </row>
    <row r="344" spans="1:6">
      <c r="A344" s="1" t="str">
        <f>FossilMiddens!A40</f>
        <v>USF06</v>
      </c>
      <c r="B344" s="1" t="s">
        <v>161</v>
      </c>
      <c r="C344" s="5">
        <f>FossilMiddens!I40</f>
        <v>-25.83</v>
      </c>
      <c r="E344" s="11"/>
      <c r="F344">
        <f>FossilMiddens!H40</f>
        <v>134.19833333333332</v>
      </c>
    </row>
    <row r="345" spans="1:6">
      <c r="A345" s="1" t="str">
        <f>FossilMiddens!A41</f>
        <v>USG22</v>
      </c>
      <c r="B345" s="1" t="s">
        <v>161</v>
      </c>
      <c r="C345" s="5">
        <f>FossilMiddens!I41</f>
        <v>-25.83</v>
      </c>
      <c r="E345" s="11"/>
      <c r="F345">
        <f>FossilMiddens!H41</f>
        <v>134.19833333333332</v>
      </c>
    </row>
    <row r="346" spans="1:6">
      <c r="A346" s="1" t="str">
        <f>FossilMiddens!A42</f>
        <v>USI76</v>
      </c>
      <c r="B346" s="1" t="s">
        <v>161</v>
      </c>
      <c r="C346" s="5">
        <f>FossilMiddens!I42</f>
        <v>-25.83</v>
      </c>
      <c r="E346" s="11"/>
      <c r="F346">
        <f>FossilMiddens!H42</f>
        <v>134.19833333333332</v>
      </c>
    </row>
    <row r="347" spans="1:6">
      <c r="A347" s="1" t="str">
        <f>FossilMiddens!A43</f>
        <v>USJ7</v>
      </c>
      <c r="B347" s="1" t="s">
        <v>161</v>
      </c>
      <c r="C347" s="5">
        <f>FossilMiddens!I43</f>
        <v>-25.83</v>
      </c>
      <c r="E347" s="11"/>
      <c r="F347">
        <f>FossilMiddens!H43</f>
        <v>134.19833333333332</v>
      </c>
    </row>
    <row r="348" spans="1:6">
      <c r="A348" s="1" t="str">
        <f>FossilMiddens!A44</f>
        <v>USK14</v>
      </c>
      <c r="B348" s="1" t="s">
        <v>161</v>
      </c>
      <c r="C348" s="5">
        <f>FossilMiddens!I44</f>
        <v>-25.83</v>
      </c>
      <c r="E348" s="11"/>
      <c r="F348">
        <f>FossilMiddens!H44</f>
        <v>134.19833333333332</v>
      </c>
    </row>
    <row r="349" spans="1:6">
      <c r="A349" s="1" t="str">
        <f>FossilMiddens!A45</f>
        <v>USL7</v>
      </c>
      <c r="B349" s="1" t="s">
        <v>161</v>
      </c>
      <c r="C349" s="5">
        <f>FossilMiddens!I45</f>
        <v>-25.83</v>
      </c>
      <c r="E349" s="11"/>
      <c r="F349">
        <f>FossilMiddens!H45</f>
        <v>134.19833333333332</v>
      </c>
    </row>
    <row r="350" spans="1:6">
      <c r="A350" s="1" t="str">
        <f>FossilMiddens!A46</f>
        <v>USM40</v>
      </c>
      <c r="B350" s="1" t="s">
        <v>161</v>
      </c>
      <c r="C350" s="5">
        <f>FossilMiddens!I46</f>
        <v>-25.83</v>
      </c>
      <c r="E350" s="11"/>
      <c r="F350">
        <f>FossilMiddens!H46</f>
        <v>134.19833333333332</v>
      </c>
    </row>
    <row r="351" spans="1:6">
      <c r="A351" s="1" t="str">
        <f>FossilMiddens!A47</f>
        <v>USN104</v>
      </c>
      <c r="B351" s="1" t="s">
        <v>161</v>
      </c>
      <c r="C351" s="5">
        <f>FossilMiddens!I47</f>
        <v>-25.83</v>
      </c>
      <c r="E351" s="11"/>
      <c r="F351">
        <f>FossilMiddens!H47</f>
        <v>134.19833333333332</v>
      </c>
    </row>
    <row r="352" spans="1:6">
      <c r="A352" s="1" t="str">
        <f>FossilMiddens!A48</f>
        <v>USN138</v>
      </c>
      <c r="B352" s="1" t="s">
        <v>161</v>
      </c>
      <c r="C352" s="5">
        <f>FossilMiddens!I48</f>
        <v>-25.83</v>
      </c>
      <c r="E352" s="11"/>
      <c r="F352">
        <f>FossilMiddens!H48</f>
        <v>134.19833333333332</v>
      </c>
    </row>
    <row r="353" spans="1:6">
      <c r="A353" s="1" t="str">
        <f>FossilMiddens!A49</f>
        <v>USN160</v>
      </c>
      <c r="B353" s="1" t="s">
        <v>161</v>
      </c>
      <c r="C353" s="5">
        <f>FossilMiddens!I49</f>
        <v>-25.83</v>
      </c>
      <c r="E353" s="11"/>
      <c r="F353">
        <f>FossilMiddens!H49</f>
        <v>134.19833333333332</v>
      </c>
    </row>
    <row r="354" spans="1:6">
      <c r="A354" s="1" t="str">
        <f>FossilMiddens!A50</f>
        <v>USN279</v>
      </c>
      <c r="B354" s="1" t="s">
        <v>161</v>
      </c>
      <c r="C354" s="5">
        <f>FossilMiddens!I50</f>
        <v>-25.83</v>
      </c>
      <c r="E354" s="11"/>
      <c r="F354">
        <f>FossilMiddens!H50</f>
        <v>134.19833333333332</v>
      </c>
    </row>
    <row r="355" spans="1:6">
      <c r="A355" s="1" t="str">
        <f>FossilMiddens!A51</f>
        <v>USN363</v>
      </c>
      <c r="B355" s="1" t="s">
        <v>161</v>
      </c>
      <c r="C355" s="5">
        <f>FossilMiddens!I51</f>
        <v>-25.83</v>
      </c>
      <c r="E355" s="11"/>
      <c r="F355">
        <f>FossilMiddens!H51</f>
        <v>134.19833333333332</v>
      </c>
    </row>
    <row r="356" spans="1:6">
      <c r="A356" s="1" t="str">
        <f>FossilMiddens!A52</f>
        <v>CAA04</v>
      </c>
      <c r="B356" s="1" t="s">
        <v>161</v>
      </c>
      <c r="C356" s="5">
        <f>FossilMiddens!I52</f>
        <v>-26.158333333333331</v>
      </c>
      <c r="E356" s="11"/>
      <c r="F356">
        <f>FossilMiddens!H52</f>
        <v>127.91333333333334</v>
      </c>
    </row>
    <row r="357" spans="1:6">
      <c r="A357" s="1" t="str">
        <f>FossilMiddens!A53</f>
        <v>GRD12</v>
      </c>
      <c r="B357" s="1" t="s">
        <v>161</v>
      </c>
      <c r="C357" s="5">
        <f>FossilMiddens!I53</f>
        <v>-26.953055555555554</v>
      </c>
      <c r="E357" s="11"/>
      <c r="F357">
        <f>FossilMiddens!H53</f>
        <v>133.4986111111111</v>
      </c>
    </row>
    <row r="358" spans="1:6">
      <c r="A358" s="1" t="str">
        <f>FossilMiddens!A54</f>
        <v>CHA14</v>
      </c>
      <c r="B358" s="1" t="s">
        <v>161</v>
      </c>
      <c r="C358" s="5">
        <f>FossilMiddens!I54</f>
        <v>-27.885555555555555</v>
      </c>
      <c r="E358" s="11"/>
      <c r="F358">
        <f>FossilMiddens!H54</f>
        <v>134.31722222222223</v>
      </c>
    </row>
    <row r="359" spans="1:6">
      <c r="A359" s="1" t="str">
        <f>FossilMiddens!A55</f>
        <v>CHA42</v>
      </c>
      <c r="B359" s="1" t="s">
        <v>161</v>
      </c>
      <c r="C359" s="5">
        <f>FossilMiddens!I55</f>
        <v>-27.885555555555555</v>
      </c>
      <c r="E359" s="11"/>
      <c r="F359">
        <f>FossilMiddens!H55</f>
        <v>134.31722222222223</v>
      </c>
    </row>
    <row r="360" spans="1:6">
      <c r="A360" s="1" t="str">
        <f>FossilMiddens!A56</f>
        <v>CHB15</v>
      </c>
      <c r="B360" s="1" t="s">
        <v>161</v>
      </c>
      <c r="C360" s="5">
        <f>FossilMiddens!I56</f>
        <v>-27.885555555555555</v>
      </c>
      <c r="E360" s="11"/>
      <c r="F360">
        <f>FossilMiddens!H56</f>
        <v>134.31722222222223</v>
      </c>
    </row>
    <row r="361" spans="1:6">
      <c r="A361" s="1" t="str">
        <f>FossilMiddens!A57</f>
        <v>CHB41</v>
      </c>
      <c r="B361" s="1" t="s">
        <v>161</v>
      </c>
      <c r="C361" s="5">
        <f>FossilMiddens!I57</f>
        <v>-27.885555555555555</v>
      </c>
      <c r="E361" s="11"/>
      <c r="F361">
        <f>FossilMiddens!H57</f>
        <v>134.31722222222223</v>
      </c>
    </row>
    <row r="362" spans="1:6">
      <c r="A362" s="1" t="str">
        <f>FossilMiddens!A58</f>
        <v>CHC119</v>
      </c>
      <c r="B362" s="1" t="s">
        <v>161</v>
      </c>
      <c r="C362" s="5">
        <f>FossilMiddens!I58</f>
        <v>-27.885555555555555</v>
      </c>
      <c r="E362" s="11"/>
      <c r="F362">
        <f>FossilMiddens!H58</f>
        <v>134.31722222222223</v>
      </c>
    </row>
    <row r="363" spans="1:6">
      <c r="A363" s="1" t="str">
        <f>FossilMiddens!A59</f>
        <v>CHC22</v>
      </c>
      <c r="B363" s="1" t="s">
        <v>161</v>
      </c>
      <c r="C363" s="5">
        <f>FossilMiddens!I59</f>
        <v>-27.885555555555555</v>
      </c>
      <c r="E363" s="11"/>
      <c r="F363">
        <f>FossilMiddens!H59</f>
        <v>134.31722222222223</v>
      </c>
    </row>
    <row r="364" spans="1:6">
      <c r="A364" s="1" t="str">
        <f>FossilMiddens!A60</f>
        <v>CHC24</v>
      </c>
      <c r="B364" s="1" t="s">
        <v>161</v>
      </c>
      <c r="C364" s="5">
        <f>FossilMiddens!I60</f>
        <v>-27.885555555555555</v>
      </c>
      <c r="E364" s="11"/>
      <c r="F364">
        <f>FossilMiddens!H60</f>
        <v>134.31722222222223</v>
      </c>
    </row>
    <row r="365" spans="1:6">
      <c r="A365" s="1" t="str">
        <f>FossilMiddens!A61</f>
        <v>CHC42</v>
      </c>
      <c r="B365" s="1" t="s">
        <v>161</v>
      </c>
      <c r="C365" s="5">
        <f>FossilMiddens!I61</f>
        <v>-27.885555555555555</v>
      </c>
      <c r="E365" s="11"/>
      <c r="F365">
        <f>FossilMiddens!H61</f>
        <v>134.31722222222223</v>
      </c>
    </row>
    <row r="366" spans="1:6">
      <c r="A366" s="1" t="str">
        <f>FossilMiddens!A62</f>
        <v>CHD17</v>
      </c>
      <c r="B366" s="1" t="s">
        <v>161</v>
      </c>
      <c r="C366" s="5">
        <f>FossilMiddens!I62</f>
        <v>-27.885555555555555</v>
      </c>
      <c r="E366" s="11"/>
      <c r="F366">
        <f>FossilMiddens!H62</f>
        <v>134.31722222222223</v>
      </c>
    </row>
    <row r="367" spans="1:6">
      <c r="A367" s="1" t="str">
        <f>FossilMiddens!A63</f>
        <v>CHD18</v>
      </c>
      <c r="B367" s="1" t="s">
        <v>161</v>
      </c>
      <c r="C367" s="5">
        <f>FossilMiddens!I63</f>
        <v>-27.885555555555555</v>
      </c>
      <c r="E367" s="11"/>
      <c r="F367">
        <f>FossilMiddens!H63</f>
        <v>134.31722222222223</v>
      </c>
    </row>
    <row r="368" spans="1:6">
      <c r="A368" s="1" t="str">
        <f>FossilMiddens!A64</f>
        <v>PTA121A</v>
      </c>
      <c r="B368" s="1" t="s">
        <v>161</v>
      </c>
      <c r="C368" s="5">
        <f>FossilMiddens!I64</f>
        <v>-28.419722222222223</v>
      </c>
      <c r="E368" s="11"/>
      <c r="F368">
        <f>FossilMiddens!H64</f>
        <v>122.97694444444444</v>
      </c>
    </row>
    <row r="369" spans="1:6">
      <c r="A369" s="1" t="str">
        <f>FossilMiddens!A65</f>
        <v>PTA234b</v>
      </c>
      <c r="B369" s="1" t="s">
        <v>161</v>
      </c>
      <c r="C369" s="5">
        <f>FossilMiddens!I65</f>
        <v>-28.419722222222223</v>
      </c>
      <c r="E369" s="11"/>
      <c r="F369">
        <f>FossilMiddens!H65</f>
        <v>122.97694444444444</v>
      </c>
    </row>
    <row r="370" spans="1:6">
      <c r="A370" s="1" t="str">
        <f>FossilMiddens!A66</f>
        <v>HH1 base</v>
      </c>
      <c r="B370" s="1" t="s">
        <v>161</v>
      </c>
      <c r="C370" s="5">
        <f>FossilMiddens!I66</f>
        <v>-30.066666666666666</v>
      </c>
      <c r="E370" s="11"/>
      <c r="F370">
        <f>FossilMiddens!H66</f>
        <v>142.56666666666666</v>
      </c>
    </row>
    <row r="371" spans="1:6">
      <c r="A371" s="1" t="str">
        <f>FossilMiddens!A67</f>
        <v>ARK1</v>
      </c>
      <c r="B371" s="1" t="s">
        <v>161</v>
      </c>
      <c r="C371" s="5">
        <f>FossilMiddens!I67</f>
        <v>-30.066666666666666</v>
      </c>
      <c r="E371" s="11"/>
      <c r="F371">
        <f>FossilMiddens!H67</f>
        <v>142.56666666666666</v>
      </c>
    </row>
    <row r="372" spans="1:6">
      <c r="A372" s="1" t="str">
        <f>FossilMiddens!A68</f>
        <v>ARK1</v>
      </c>
      <c r="B372" s="1" t="s">
        <v>161</v>
      </c>
      <c r="C372" s="5">
        <f>FossilMiddens!I68</f>
        <v>-30.066666666666666</v>
      </c>
      <c r="E372" s="11"/>
      <c r="F372">
        <f>FossilMiddens!H68</f>
        <v>142.56666666666666</v>
      </c>
    </row>
    <row r="373" spans="1:6">
      <c r="A373" s="1" t="str">
        <f>FossilMiddens!A69</f>
        <v>HH1 top</v>
      </c>
      <c r="B373" s="1" t="s">
        <v>161</v>
      </c>
      <c r="C373" s="5">
        <f>FossilMiddens!I69</f>
        <v>-30.066666666666666</v>
      </c>
      <c r="E373" s="11"/>
      <c r="F373">
        <f>FossilMiddens!H69</f>
        <v>142.56666666666666</v>
      </c>
    </row>
    <row r="374" spans="1:6">
      <c r="A374" s="1" t="str">
        <f>FossilMiddens!A70</f>
        <v>NWCK 1</v>
      </c>
      <c r="B374" s="1" t="s">
        <v>161</v>
      </c>
      <c r="C374" s="5">
        <f>FossilMiddens!I70</f>
        <v>-30.066666666666666</v>
      </c>
      <c r="E374" s="11"/>
      <c r="F374">
        <f>FossilMiddens!H70</f>
        <v>142.56666666666666</v>
      </c>
    </row>
    <row r="375" spans="1:6">
      <c r="A375" s="1" t="str">
        <f>FossilMiddens!A71</f>
        <v>NWCK 2</v>
      </c>
      <c r="B375" s="1" t="s">
        <v>161</v>
      </c>
      <c r="C375" s="5">
        <f>FossilMiddens!I71</f>
        <v>-30.066666666666666</v>
      </c>
      <c r="E375" s="11"/>
      <c r="F375">
        <f>FossilMiddens!H71</f>
        <v>142.56666666666666</v>
      </c>
    </row>
    <row r="376" spans="1:6">
      <c r="A376" s="1" t="str">
        <f>FossilMiddens!A72</f>
        <v>OT1</v>
      </c>
      <c r="B376" s="1" t="s">
        <v>161</v>
      </c>
      <c r="C376" s="5">
        <f>FossilMiddens!I72</f>
        <v>-30.066666666666666</v>
      </c>
      <c r="E376" s="11"/>
      <c r="F376">
        <f>FossilMiddens!H72</f>
        <v>142.56666666666666</v>
      </c>
    </row>
    <row r="377" spans="1:6">
      <c r="A377" s="1" t="str">
        <f>FossilMiddens!A73</f>
        <v>OT1</v>
      </c>
      <c r="B377" s="1" t="s">
        <v>161</v>
      </c>
      <c r="C377" s="5">
        <f>FossilMiddens!I73</f>
        <v>-30.066666666666666</v>
      </c>
      <c r="E377" s="11"/>
      <c r="F377">
        <f>FossilMiddens!H73</f>
        <v>142.56666666666666</v>
      </c>
    </row>
    <row r="378" spans="1:6">
      <c r="A378" s="1" t="str">
        <f>FossilMiddens!A74</f>
        <v>RC 1</v>
      </c>
      <c r="B378" s="1" t="s">
        <v>161</v>
      </c>
      <c r="C378" s="5">
        <f>FossilMiddens!I74</f>
        <v>-30.066666666666666</v>
      </c>
      <c r="E378" s="11"/>
      <c r="F378">
        <f>FossilMiddens!H74</f>
        <v>142.56666666666666</v>
      </c>
    </row>
    <row r="379" spans="1:6">
      <c r="A379" s="1" t="str">
        <f>FossilMiddens!A75</f>
        <v>RC 2</v>
      </c>
      <c r="B379" s="1" t="s">
        <v>161</v>
      </c>
      <c r="C379" s="5">
        <f>FossilMiddens!I75</f>
        <v>-30.066666666666666</v>
      </c>
      <c r="E379" s="11"/>
      <c r="F379">
        <f>FossilMiddens!H75</f>
        <v>142.56666666666666</v>
      </c>
    </row>
    <row r="380" spans="1:6">
      <c r="A380" s="1" t="str">
        <f>FossilMiddens!A76</f>
        <v>RC3 base</v>
      </c>
      <c r="B380" s="1" t="s">
        <v>161</v>
      </c>
      <c r="C380" s="5">
        <f>FossilMiddens!I76</f>
        <v>-30.066666666666666</v>
      </c>
      <c r="E380" s="11"/>
      <c r="F380">
        <f>FossilMiddens!H76</f>
        <v>142.56666666666666</v>
      </c>
    </row>
    <row r="381" spans="1:6">
      <c r="A381" s="1" t="str">
        <f>FossilMiddens!A77</f>
        <v>WF</v>
      </c>
      <c r="B381" s="1" t="s">
        <v>161</v>
      </c>
      <c r="C381" s="5">
        <f>FossilMiddens!I77</f>
        <v>-30.066666666666666</v>
      </c>
      <c r="E381" s="11"/>
      <c r="F381">
        <f>FossilMiddens!H77</f>
        <v>142.56666666666666</v>
      </c>
    </row>
    <row r="382" spans="1:6">
      <c r="A382" s="1" t="str">
        <f>FossilMiddens!A78</f>
        <v>QVA312</v>
      </c>
      <c r="B382" s="1" t="s">
        <v>161</v>
      </c>
      <c r="C382" s="5">
        <f>FossilMiddens!I78</f>
        <v>-30.328888888888887</v>
      </c>
      <c r="E382" s="11"/>
      <c r="F382">
        <f>FossilMiddens!H78</f>
        <v>123.26722222222222</v>
      </c>
    </row>
    <row r="383" spans="1:6">
      <c r="A383" s="1" t="str">
        <f>FossilMiddens!A79</f>
        <v>QVA464</v>
      </c>
      <c r="B383" s="1" t="s">
        <v>161</v>
      </c>
      <c r="C383" s="5">
        <f>FossilMiddens!I79</f>
        <v>-30.328888888888887</v>
      </c>
      <c r="E383" s="11"/>
      <c r="F383">
        <f>FossilMiddens!H79</f>
        <v>123.26722222222222</v>
      </c>
    </row>
    <row r="384" spans="1:6">
      <c r="A384" s="1" t="str">
        <f>FossilMiddens!A80</f>
        <v>QVB107</v>
      </c>
      <c r="B384" s="1" t="s">
        <v>161</v>
      </c>
      <c r="C384" s="5">
        <f>FossilMiddens!I80</f>
        <v>-30.328888888888887</v>
      </c>
      <c r="E384" s="11"/>
      <c r="F384">
        <f>FossilMiddens!H80</f>
        <v>123.26722222222222</v>
      </c>
    </row>
    <row r="385" spans="1:6">
      <c r="A385" s="1" t="str">
        <f>FossilMiddens!A81</f>
        <v>QVB37</v>
      </c>
      <c r="B385" s="1" t="s">
        <v>161</v>
      </c>
      <c r="C385" s="5">
        <f>FossilMiddens!I81</f>
        <v>-30.328888888888887</v>
      </c>
      <c r="E385" s="11"/>
      <c r="F385">
        <f>FossilMiddens!H81</f>
        <v>123.26722222222222</v>
      </c>
    </row>
    <row r="386" spans="1:6">
      <c r="A386" s="1" t="str">
        <f>FossilMiddens!A82</f>
        <v>QVB37</v>
      </c>
      <c r="B386" s="1" t="s">
        <v>161</v>
      </c>
      <c r="C386" s="5">
        <f>FossilMiddens!I82</f>
        <v>-30.328888888888887</v>
      </c>
      <c r="E386" s="11"/>
      <c r="F386">
        <f>FossilMiddens!H82</f>
        <v>123.26722222222222</v>
      </c>
    </row>
    <row r="387" spans="1:6">
      <c r="A387" s="1" t="str">
        <f>FossilMiddens!A83</f>
        <v>SAJQ/79i</v>
      </c>
      <c r="B387" s="1" t="s">
        <v>161</v>
      </c>
      <c r="C387" s="5">
        <f>FossilMiddens!I83</f>
        <v>-30.333333333333332</v>
      </c>
      <c r="E387" s="11"/>
      <c r="F387">
        <f>FossilMiddens!H83</f>
        <v>139.33333333333334</v>
      </c>
    </row>
    <row r="388" spans="1:6">
      <c r="A388" s="1" t="str">
        <f>FossilMiddens!A84</f>
        <v>SAJQ/79ii</v>
      </c>
      <c r="B388" s="1" t="s">
        <v>161</v>
      </c>
      <c r="C388" s="5">
        <f>FossilMiddens!I84</f>
        <v>-30.333333333333332</v>
      </c>
      <c r="E388" s="11"/>
      <c r="F388">
        <f>FossilMiddens!H84</f>
        <v>139.33333333333334</v>
      </c>
    </row>
    <row r="389" spans="1:6">
      <c r="A389" s="1" t="str">
        <f>FossilMiddens!A85</f>
        <v>SAJQ/79ii</v>
      </c>
      <c r="B389" s="1" t="s">
        <v>161</v>
      </c>
      <c r="C389" s="5">
        <f>FossilMiddens!I85</f>
        <v>-30.333333333333332</v>
      </c>
      <c r="E389" s="11"/>
      <c r="F389">
        <f>FossilMiddens!H85</f>
        <v>139.33333333333334</v>
      </c>
    </row>
    <row r="390" spans="1:6">
      <c r="A390" s="1" t="str">
        <f>FossilMiddens!A86</f>
        <v>SAJQ/85Li</v>
      </c>
      <c r="B390" s="1" t="s">
        <v>161</v>
      </c>
      <c r="C390" s="5">
        <f>FossilMiddens!I86</f>
        <v>-30.333333333333332</v>
      </c>
      <c r="E390" s="11"/>
      <c r="F390">
        <f>FossilMiddens!H86</f>
        <v>139.33333333333334</v>
      </c>
    </row>
    <row r="391" spans="1:6">
      <c r="A391" s="1" t="str">
        <f>FossilMiddens!A87</f>
        <v>SAJQ/85Lii</v>
      </c>
      <c r="B391" s="1" t="s">
        <v>161</v>
      </c>
      <c r="C391" s="5">
        <f>FossilMiddens!I87</f>
        <v>-30.333333333333332</v>
      </c>
      <c r="E391" s="11"/>
      <c r="F391">
        <f>FossilMiddens!H87</f>
        <v>139.33333333333334</v>
      </c>
    </row>
    <row r="392" spans="1:6">
      <c r="A392" s="1" t="str">
        <f>FossilMiddens!A88</f>
        <v>SAJQ/85Rii</v>
      </c>
      <c r="B392" s="1" t="s">
        <v>161</v>
      </c>
      <c r="C392" s="5">
        <f>FossilMiddens!I88</f>
        <v>-30.333333333333332</v>
      </c>
      <c r="E392" s="11"/>
      <c r="F392">
        <f>FossilMiddens!H88</f>
        <v>139.33333333333334</v>
      </c>
    </row>
    <row r="393" spans="1:6">
      <c r="A393" s="1" t="str">
        <f>FossilMiddens!A89</f>
        <v>SAJQ/85Rii</v>
      </c>
      <c r="B393" s="1" t="s">
        <v>161</v>
      </c>
      <c r="C393" s="5">
        <f>FossilMiddens!I89</f>
        <v>-30.333333333333332</v>
      </c>
      <c r="E393" s="11"/>
      <c r="F393">
        <f>FossilMiddens!H89</f>
        <v>139.33333333333334</v>
      </c>
    </row>
    <row r="394" spans="1:6">
      <c r="A394" s="1" t="str">
        <f>FossilMiddens!A90</f>
        <v>SAJQ76</v>
      </c>
      <c r="B394" s="1" t="s">
        <v>161</v>
      </c>
      <c r="C394" s="5">
        <f>FossilMiddens!I90</f>
        <v>-30.333333333333332</v>
      </c>
      <c r="E394" s="11"/>
      <c r="F394">
        <f>FossilMiddens!H90</f>
        <v>139.33333333333334</v>
      </c>
    </row>
    <row r="395" spans="1:6">
      <c r="A395" s="1" t="str">
        <f>FossilMiddens!A91</f>
        <v>SAJQ77</v>
      </c>
      <c r="B395" s="1" t="s">
        <v>161</v>
      </c>
      <c r="C395" s="5">
        <f>FossilMiddens!I91</f>
        <v>-30.333333333333332</v>
      </c>
      <c r="E395" s="11"/>
      <c r="F395">
        <f>FossilMiddens!H91</f>
        <v>139.33333333333334</v>
      </c>
    </row>
    <row r="396" spans="1:6">
      <c r="A396" s="1" t="str">
        <f>FossilMiddens!A92</f>
        <v>SAJQ78</v>
      </c>
      <c r="B396" s="1" t="s">
        <v>161</v>
      </c>
      <c r="C396" s="5">
        <f>FossilMiddens!I92</f>
        <v>-30.333333333333332</v>
      </c>
      <c r="E396" s="11"/>
      <c r="F396">
        <f>FossilMiddens!H92</f>
        <v>139.33333333333334</v>
      </c>
    </row>
    <row r="397" spans="1:6">
      <c r="A397" s="1" t="str">
        <f>FossilMiddens!A93</f>
        <v>SAJQ79</v>
      </c>
      <c r="B397" s="1" t="s">
        <v>161</v>
      </c>
      <c r="C397" s="5">
        <f>FossilMiddens!I93</f>
        <v>-30.333333333333332</v>
      </c>
      <c r="E397" s="11"/>
      <c r="F397">
        <f>FossilMiddens!H93</f>
        <v>139.33333333333334</v>
      </c>
    </row>
    <row r="398" spans="1:6">
      <c r="A398" s="1" t="str">
        <f>FossilMiddens!A94</f>
        <v>SAJQ91</v>
      </c>
      <c r="B398" s="1" t="s">
        <v>161</v>
      </c>
      <c r="C398" s="5">
        <f>FossilMiddens!I94</f>
        <v>-30.333333333333332</v>
      </c>
      <c r="E398" s="11"/>
      <c r="F398">
        <f>FossilMiddens!H94</f>
        <v>139.33333333333334</v>
      </c>
    </row>
    <row r="399" spans="1:6">
      <c r="A399" s="1" t="str">
        <f>FossilMiddens!A95</f>
        <v>SAJQ92</v>
      </c>
      <c r="B399" s="1" t="s">
        <v>161</v>
      </c>
      <c r="C399" s="5">
        <f>FossilMiddens!I95</f>
        <v>-30.333333333333332</v>
      </c>
      <c r="E399" s="11"/>
      <c r="F399">
        <f>FossilMiddens!H95</f>
        <v>139.33333333333334</v>
      </c>
    </row>
    <row r="400" spans="1:6">
      <c r="A400" s="1" t="str">
        <f>FossilMiddens!A96</f>
        <v>MO1</v>
      </c>
      <c r="B400" s="1" t="s">
        <v>161</v>
      </c>
      <c r="C400" s="5">
        <f>FossilMiddens!I96</f>
        <v>-30.5</v>
      </c>
      <c r="E400" s="11"/>
      <c r="F400">
        <f>FossilMiddens!H96</f>
        <v>119.66666666666667</v>
      </c>
    </row>
    <row r="401" spans="1:6">
      <c r="A401" s="1" t="str">
        <f>FossilMiddens!A97</f>
        <v>C7</v>
      </c>
      <c r="B401" s="1" t="s">
        <v>161</v>
      </c>
      <c r="C401" s="5">
        <f>FossilMiddens!I97</f>
        <v>-30.866666666666667</v>
      </c>
      <c r="E401" s="11"/>
      <c r="F401">
        <f>FossilMiddens!H97</f>
        <v>142.6</v>
      </c>
    </row>
    <row r="402" spans="1:6">
      <c r="A402" s="1" t="str">
        <f>FossilMiddens!A98</f>
        <v>C8 (front left)</v>
      </c>
      <c r="B402" s="1" t="s">
        <v>161</v>
      </c>
      <c r="C402" s="5">
        <f>FossilMiddens!I98</f>
        <v>-30.866666666666667</v>
      </c>
      <c r="E402" s="11"/>
      <c r="F402">
        <f>FossilMiddens!H98</f>
        <v>142.6</v>
      </c>
    </row>
    <row r="403" spans="1:6">
      <c r="A403" s="1" t="str">
        <f>FossilMiddens!A99</f>
        <v>CG1</v>
      </c>
      <c r="B403" s="1" t="s">
        <v>161</v>
      </c>
      <c r="C403" s="5">
        <f>FossilMiddens!I99</f>
        <v>-30.966666666666665</v>
      </c>
      <c r="E403" s="11"/>
      <c r="F403">
        <f>FossilMiddens!H99</f>
        <v>139.33333333333334</v>
      </c>
    </row>
    <row r="404" spans="1:6">
      <c r="A404" s="1" t="str">
        <f>FossilMiddens!A100</f>
        <v>MC1 (centre)</v>
      </c>
      <c r="B404" s="1" t="s">
        <v>161</v>
      </c>
      <c r="C404" s="5">
        <f>FossilMiddens!I100</f>
        <v>-30.966666666666665</v>
      </c>
      <c r="E404" s="11"/>
      <c r="F404">
        <f>FossilMiddens!H100</f>
        <v>139.33333333333334</v>
      </c>
    </row>
    <row r="405" spans="1:6">
      <c r="A405" s="1" t="str">
        <f>FossilMiddens!A101</f>
        <v>MC1 (exposed base)</v>
      </c>
      <c r="B405" s="1" t="s">
        <v>161</v>
      </c>
      <c r="C405" s="5">
        <f>FossilMiddens!I101</f>
        <v>-30.966666666666665</v>
      </c>
      <c r="E405" s="11"/>
      <c r="F405">
        <f>FossilMiddens!H101</f>
        <v>139.33333333333334</v>
      </c>
    </row>
    <row r="406" spans="1:6">
      <c r="A406" s="1" t="str">
        <f>FossilMiddens!A102</f>
        <v>MC2 (overhang)</v>
      </c>
      <c r="B406" s="1" t="s">
        <v>161</v>
      </c>
      <c r="C406" s="5">
        <f>FossilMiddens!I102</f>
        <v>-30.966666666666665</v>
      </c>
      <c r="E406" s="11"/>
      <c r="F406">
        <f>FossilMiddens!H102</f>
        <v>139.33333333333334</v>
      </c>
    </row>
    <row r="407" spans="1:6">
      <c r="A407" s="1" t="str">
        <f>FossilMiddens!A103</f>
        <v>MC2 (top)</v>
      </c>
      <c r="B407" s="1" t="s">
        <v>161</v>
      </c>
      <c r="C407" s="5">
        <f>FossilMiddens!I103</f>
        <v>-30.966666666666665</v>
      </c>
      <c r="E407" s="11"/>
      <c r="F407">
        <f>FossilMiddens!H103</f>
        <v>139.33333333333334</v>
      </c>
    </row>
    <row r="408" spans="1:6">
      <c r="A408" s="1" t="str">
        <f>FossilMiddens!A104</f>
        <v>MC2 (top)</v>
      </c>
      <c r="B408" s="1" t="s">
        <v>161</v>
      </c>
      <c r="C408" s="5">
        <f>FossilMiddens!I104</f>
        <v>-30.966666666666665</v>
      </c>
      <c r="E408" s="11"/>
      <c r="F408">
        <f>FossilMiddens!H104</f>
        <v>139.33333333333334</v>
      </c>
    </row>
    <row r="409" spans="1:6">
      <c r="A409" s="1" t="str">
        <f>FossilMiddens!A105</f>
        <v>MD3</v>
      </c>
      <c r="B409" s="1" t="s">
        <v>161</v>
      </c>
      <c r="C409" s="5">
        <f>FossilMiddens!I105</f>
        <v>-30.966666666666665</v>
      </c>
      <c r="E409" s="11"/>
      <c r="F409">
        <f>FossilMiddens!H105</f>
        <v>139.33333333333334</v>
      </c>
    </row>
    <row r="410" spans="1:6">
      <c r="A410" s="1" t="str">
        <f>FossilMiddens!A106</f>
        <v>SAJQ85L</v>
      </c>
      <c r="B410" s="1" t="s">
        <v>161</v>
      </c>
      <c r="C410" s="5">
        <f>FossilMiddens!I106</f>
        <v>-30.966666666666665</v>
      </c>
      <c r="E410" s="11"/>
      <c r="F410">
        <f>FossilMiddens!H106</f>
        <v>139.33333333333334</v>
      </c>
    </row>
    <row r="411" spans="1:6">
      <c r="A411" s="1" t="str">
        <f>FossilMiddens!A107</f>
        <v>SAJQ85L</v>
      </c>
      <c r="B411" s="1" t="s">
        <v>161</v>
      </c>
      <c r="C411" s="5">
        <f>FossilMiddens!I107</f>
        <v>-30.966666666666665</v>
      </c>
      <c r="E411" s="11"/>
      <c r="F411">
        <f>FossilMiddens!H107</f>
        <v>139.33333333333334</v>
      </c>
    </row>
    <row r="412" spans="1:6">
      <c r="A412" s="1" t="str">
        <f>FossilMiddens!A108</f>
        <v>SAJQ85R</v>
      </c>
      <c r="B412" s="1" t="s">
        <v>161</v>
      </c>
      <c r="C412" s="5">
        <f>FossilMiddens!I108</f>
        <v>-30.966666666666665</v>
      </c>
      <c r="E412" s="11"/>
      <c r="F412">
        <f>FossilMiddens!H108</f>
        <v>139.33333333333334</v>
      </c>
    </row>
    <row r="413" spans="1:6">
      <c r="A413" s="1" t="str">
        <f>FossilMiddens!A109</f>
        <v>SAJQ85R(base)</v>
      </c>
      <c r="B413" s="1" t="s">
        <v>161</v>
      </c>
      <c r="C413" s="5">
        <f>FossilMiddens!I109</f>
        <v>-30.966666666666665</v>
      </c>
      <c r="E413" s="11"/>
      <c r="F413">
        <f>FossilMiddens!H109</f>
        <v>139.33333333333334</v>
      </c>
    </row>
    <row r="414" spans="1:6">
      <c r="A414" s="1" t="str">
        <f>FossilMiddens!A110</f>
        <v>SAJQ85R(base)</v>
      </c>
      <c r="B414" s="1" t="s">
        <v>161</v>
      </c>
      <c r="C414" s="5">
        <f>FossilMiddens!I110</f>
        <v>-30.966666666666665</v>
      </c>
      <c r="E414" s="11"/>
      <c r="F414">
        <f>FossilMiddens!H110</f>
        <v>139.33333333333334</v>
      </c>
    </row>
    <row r="415" spans="1:6">
      <c r="A415" s="1" t="str">
        <f>FossilMiddens!A111</f>
        <v>SAJQ89</v>
      </c>
      <c r="B415" s="1" t="s">
        <v>161</v>
      </c>
      <c r="C415" s="5">
        <f>FossilMiddens!I111</f>
        <v>-30.966666666666665</v>
      </c>
      <c r="E415" s="11"/>
      <c r="F415">
        <f>FossilMiddens!H111</f>
        <v>139.33333333333334</v>
      </c>
    </row>
    <row r="416" spans="1:6">
      <c r="A416" s="1" t="str">
        <f>FossilMiddens!A112</f>
        <v>GH4 (top)</v>
      </c>
      <c r="B416" s="1" t="s">
        <v>161</v>
      </c>
      <c r="C416" s="5">
        <f>FossilMiddens!I112</f>
        <v>-31.066666666666666</v>
      </c>
      <c r="E416" s="11"/>
      <c r="F416">
        <f>FossilMiddens!H112</f>
        <v>142.56666666666666</v>
      </c>
    </row>
    <row r="417" spans="1:6">
      <c r="A417" s="1" t="str">
        <f>FossilMiddens!A113</f>
        <v>GAP RANGE E (GHE) LOWER RIGHT</v>
      </c>
      <c r="B417" s="1" t="s">
        <v>161</v>
      </c>
      <c r="C417" s="5">
        <f>FossilMiddens!I113</f>
        <v>-31.066666666666666</v>
      </c>
      <c r="E417" s="11"/>
      <c r="F417">
        <f>FossilMiddens!H113</f>
        <v>142.56666666666666</v>
      </c>
    </row>
    <row r="418" spans="1:6">
      <c r="A418" s="1" t="str">
        <f>FossilMiddens!A114</f>
        <v>GH E1</v>
      </c>
      <c r="B418" s="1" t="s">
        <v>161</v>
      </c>
      <c r="C418" s="5">
        <f>FossilMiddens!I114</f>
        <v>-31.066666666666666</v>
      </c>
      <c r="E418" s="11"/>
      <c r="F418">
        <f>FossilMiddens!H114</f>
        <v>142.56666666666666</v>
      </c>
    </row>
    <row r="419" spans="1:6">
      <c r="A419" s="1" t="str">
        <f>FossilMiddens!A115</f>
        <v>GH E2</v>
      </c>
      <c r="B419" s="1" t="s">
        <v>161</v>
      </c>
      <c r="C419" s="5">
        <f>FossilMiddens!I115</f>
        <v>-31.066666666666666</v>
      </c>
      <c r="E419" s="11"/>
      <c r="F419">
        <f>FossilMiddens!H115</f>
        <v>142.56666666666666</v>
      </c>
    </row>
    <row r="420" spans="1:6">
      <c r="A420" s="1" t="str">
        <f>FossilMiddens!A116</f>
        <v>GH E3 (I)</v>
      </c>
      <c r="B420" s="1" t="s">
        <v>161</v>
      </c>
      <c r="C420" s="5">
        <f>FossilMiddens!I116</f>
        <v>-31.066666666666666</v>
      </c>
      <c r="E420" s="11"/>
      <c r="F420">
        <f>FossilMiddens!H116</f>
        <v>142.56666666666666</v>
      </c>
    </row>
    <row r="421" spans="1:6">
      <c r="A421" s="1" t="str">
        <f>FossilMiddens!A117</f>
        <v>GH E3 (II)</v>
      </c>
      <c r="B421" s="1" t="s">
        <v>161</v>
      </c>
      <c r="C421" s="5">
        <f>FossilMiddens!I117</f>
        <v>-31.066666666666666</v>
      </c>
      <c r="E421" s="11"/>
      <c r="F421">
        <f>FossilMiddens!H117</f>
        <v>142.56666666666666</v>
      </c>
    </row>
    <row r="422" spans="1:6">
      <c r="A422" s="1" t="str">
        <f>FossilMiddens!A118</f>
        <v>GH E3 (III)</v>
      </c>
      <c r="B422" s="1" t="s">
        <v>161</v>
      </c>
      <c r="C422" s="5">
        <f>FossilMiddens!I118</f>
        <v>-31.066666666666666</v>
      </c>
      <c r="E422" s="11"/>
      <c r="F422">
        <f>FossilMiddens!H118</f>
        <v>142.56666666666666</v>
      </c>
    </row>
    <row r="423" spans="1:6">
      <c r="A423" s="1" t="str">
        <f>FossilMiddens!A119</f>
        <v>GH E4</v>
      </c>
      <c r="B423" s="1" t="s">
        <v>161</v>
      </c>
      <c r="C423" s="5">
        <f>FossilMiddens!I119</f>
        <v>-31.066666666666666</v>
      </c>
      <c r="E423" s="11"/>
      <c r="F423">
        <f>FossilMiddens!H119</f>
        <v>142.56666666666666</v>
      </c>
    </row>
    <row r="424" spans="1:6">
      <c r="A424" s="1" t="str">
        <f>FossilMiddens!A120</f>
        <v>GH E5 (I)</v>
      </c>
      <c r="B424" s="1" t="s">
        <v>161</v>
      </c>
      <c r="C424" s="5">
        <f>FossilMiddens!I120</f>
        <v>-31.066666666666666</v>
      </c>
      <c r="E424" s="11"/>
      <c r="F424">
        <f>FossilMiddens!H120</f>
        <v>142.56666666666666</v>
      </c>
    </row>
    <row r="425" spans="1:6">
      <c r="A425" s="1" t="str">
        <f>FossilMiddens!A121</f>
        <v>GH E5 (II) lower left</v>
      </c>
      <c r="B425" s="1" t="s">
        <v>161</v>
      </c>
      <c r="C425" s="5">
        <f>FossilMiddens!I121</f>
        <v>-31.066666666666666</v>
      </c>
      <c r="E425" s="11"/>
      <c r="F425">
        <f>FossilMiddens!H121</f>
        <v>142.56666666666666</v>
      </c>
    </row>
    <row r="426" spans="1:6">
      <c r="A426" s="1" t="str">
        <f>FossilMiddens!A122</f>
        <v>GH3 (I)</v>
      </c>
      <c r="B426" s="1" t="s">
        <v>161</v>
      </c>
      <c r="C426" s="5">
        <f>FossilMiddens!I122</f>
        <v>-31.066666666666666</v>
      </c>
      <c r="E426" s="11"/>
      <c r="F426">
        <f>FossilMiddens!H122</f>
        <v>142.56666666666666</v>
      </c>
    </row>
    <row r="427" spans="1:6">
      <c r="A427" s="1" t="str">
        <f>FossilMiddens!A123</f>
        <v>GH3 (ii)</v>
      </c>
      <c r="B427" s="1" t="s">
        <v>161</v>
      </c>
      <c r="C427" s="5">
        <f>FossilMiddens!I123</f>
        <v>-31.066666666666666</v>
      </c>
      <c r="E427" s="11"/>
      <c r="F427">
        <f>FossilMiddens!H123</f>
        <v>142.56666666666666</v>
      </c>
    </row>
    <row r="428" spans="1:6">
      <c r="A428" s="1" t="str">
        <f>FossilMiddens!A124</f>
        <v>GH6 (base)</v>
      </c>
      <c r="B428" s="1" t="s">
        <v>161</v>
      </c>
      <c r="C428" s="5">
        <f>FossilMiddens!I124</f>
        <v>-31.066666666666666</v>
      </c>
      <c r="E428" s="11"/>
      <c r="F428">
        <f>FossilMiddens!H124</f>
        <v>142.56666666666666</v>
      </c>
    </row>
    <row r="429" spans="1:6">
      <c r="A429" s="1" t="str">
        <f>FossilMiddens!A125</f>
        <v>GH6 (top)</v>
      </c>
      <c r="B429" s="1" t="s">
        <v>161</v>
      </c>
      <c r="C429" s="5">
        <f>FossilMiddens!I125</f>
        <v>-31.066666666666666</v>
      </c>
      <c r="E429" s="11"/>
      <c r="F429">
        <f>FossilMiddens!H125</f>
        <v>142.56666666666666</v>
      </c>
    </row>
    <row r="430" spans="1:6">
      <c r="A430" s="1" t="str">
        <f>FossilMiddens!A126</f>
        <v>GH2</v>
      </c>
      <c r="B430" s="1" t="s">
        <v>161</v>
      </c>
      <c r="C430" s="5">
        <f>FossilMiddens!I126</f>
        <v>-31.166666666666668</v>
      </c>
      <c r="E430" s="11"/>
      <c r="F430">
        <f>FossilMiddens!H126</f>
        <v>142.6</v>
      </c>
    </row>
    <row r="431" spans="1:6">
      <c r="A431" s="1" t="str">
        <f>FossilMiddens!A127</f>
        <v>GH5 (I)</v>
      </c>
      <c r="B431" s="1" t="s">
        <v>161</v>
      </c>
      <c r="C431" s="5">
        <f>FossilMiddens!I127</f>
        <v>-31.166666666666668</v>
      </c>
      <c r="E431" s="11"/>
      <c r="F431">
        <f>FossilMiddens!H127</f>
        <v>142.6</v>
      </c>
    </row>
    <row r="432" spans="1:6">
      <c r="A432" s="1" t="str">
        <f>FossilMiddens!A128</f>
        <v>GH8 (front)</v>
      </c>
      <c r="B432" s="1" t="s">
        <v>161</v>
      </c>
      <c r="C432" s="5">
        <f>FossilMiddens!I128</f>
        <v>-31.166666666666668</v>
      </c>
      <c r="E432" s="11"/>
      <c r="F432">
        <f>FossilMiddens!H128</f>
        <v>142.6</v>
      </c>
    </row>
    <row r="433" spans="1:6">
      <c r="A433" s="1" t="str">
        <f>FossilMiddens!A129</f>
        <v>RC3 top</v>
      </c>
      <c r="B433" s="1" t="s">
        <v>161</v>
      </c>
      <c r="C433" s="5">
        <f>FossilMiddens!I129</f>
        <v>-31.166666666666668</v>
      </c>
      <c r="E433" s="11"/>
      <c r="F433">
        <f>FossilMiddens!H129</f>
        <v>142.6</v>
      </c>
    </row>
    <row r="434" spans="1:6">
      <c r="A434" s="1" t="str">
        <f>FossilMiddens!A130</f>
        <v>Green et al (1983)</v>
      </c>
      <c r="B434" s="1" t="s">
        <v>161</v>
      </c>
      <c r="C434" s="5">
        <f>FossilMiddens!I130</f>
        <v>-31.166666666666668</v>
      </c>
      <c r="E434" s="11"/>
      <c r="F434">
        <f>FossilMiddens!H130</f>
        <v>142.6</v>
      </c>
    </row>
    <row r="435" spans="1:6">
      <c r="A435" s="1" t="str">
        <f>FossilMiddens!A131</f>
        <v>BR1 (base)</v>
      </c>
      <c r="B435" s="1" t="s">
        <v>161</v>
      </c>
      <c r="C435" s="5">
        <f>FossilMiddens!I131</f>
        <v>-31.35</v>
      </c>
      <c r="E435" s="11"/>
      <c r="F435">
        <f>FossilMiddens!H131</f>
        <v>138.55000000000001</v>
      </c>
    </row>
    <row r="436" spans="1:6">
      <c r="A436" s="1" t="str">
        <f>FossilMiddens!A132</f>
        <v>BR1 (top)</v>
      </c>
      <c r="B436" s="1" t="s">
        <v>161</v>
      </c>
      <c r="C436" s="5">
        <f>FossilMiddens!I132</f>
        <v>-31.35</v>
      </c>
      <c r="E436" s="11"/>
      <c r="F436">
        <f>FossilMiddens!H132</f>
        <v>138.55000000000001</v>
      </c>
    </row>
    <row r="437" spans="1:6">
      <c r="A437" s="1" t="str">
        <f>FossilMiddens!A133</f>
        <v>BR2 (middle)</v>
      </c>
      <c r="B437" s="1" t="s">
        <v>161</v>
      </c>
      <c r="C437" s="5">
        <f>FossilMiddens!I133</f>
        <v>-31.35</v>
      </c>
      <c r="E437" s="11"/>
      <c r="F437">
        <f>FossilMiddens!H133</f>
        <v>138.55000000000001</v>
      </c>
    </row>
    <row r="438" spans="1:6">
      <c r="A438" s="1" t="str">
        <f>FossilMiddens!A134</f>
        <v>BR3 (base)</v>
      </c>
      <c r="B438" s="1" t="s">
        <v>161</v>
      </c>
      <c r="C438" s="5">
        <f>FossilMiddens!I134</f>
        <v>-31.35</v>
      </c>
      <c r="E438" s="11"/>
      <c r="F438">
        <f>FossilMiddens!H134</f>
        <v>138.55000000000001</v>
      </c>
    </row>
    <row r="439" spans="1:6">
      <c r="A439" s="1" t="str">
        <f>FossilMiddens!A135</f>
        <v>BR3 (base)</v>
      </c>
      <c r="B439" s="1" t="s">
        <v>161</v>
      </c>
      <c r="C439" s="5">
        <f>FossilMiddens!I135</f>
        <v>-31.35</v>
      </c>
      <c r="E439" s="11"/>
      <c r="F439">
        <f>FossilMiddens!H135</f>
        <v>138.55000000000001</v>
      </c>
    </row>
    <row r="440" spans="1:6">
      <c r="A440" s="1" t="str">
        <f>FossilMiddens!A136</f>
        <v>BR3 (top)</v>
      </c>
      <c r="B440" s="1" t="s">
        <v>161</v>
      </c>
      <c r="C440" s="5">
        <f>FossilMiddens!I136</f>
        <v>-31.35</v>
      </c>
      <c r="E440" s="11"/>
      <c r="F440">
        <f>FossilMiddens!H136</f>
        <v>138.55000000000001</v>
      </c>
    </row>
    <row r="441" spans="1:6">
      <c r="A441" s="1" t="str">
        <f>FossilMiddens!A137</f>
        <v>BR3 (top)</v>
      </c>
      <c r="B441" s="1" t="s">
        <v>161</v>
      </c>
      <c r="C441" s="5">
        <f>FossilMiddens!I137</f>
        <v>-31.35</v>
      </c>
      <c r="E441" s="11"/>
      <c r="F441">
        <f>FossilMiddens!H137</f>
        <v>138.55000000000001</v>
      </c>
    </row>
    <row r="442" spans="1:6">
      <c r="A442" s="1" t="str">
        <f>FossilMiddens!A138</f>
        <v>BR4 (10cm)</v>
      </c>
      <c r="B442" s="1" t="s">
        <v>161</v>
      </c>
      <c r="C442" s="5">
        <f>FossilMiddens!I138</f>
        <v>-31.35</v>
      </c>
      <c r="E442" s="11"/>
      <c r="F442">
        <f>FossilMiddens!H138</f>
        <v>138.55000000000001</v>
      </c>
    </row>
    <row r="443" spans="1:6">
      <c r="A443" s="1" t="str">
        <f>FossilMiddens!A139</f>
        <v>BR4 (10cm)</v>
      </c>
      <c r="B443" s="1" t="s">
        <v>161</v>
      </c>
      <c r="C443" s="5">
        <f>FossilMiddens!I139</f>
        <v>-31.35</v>
      </c>
      <c r="E443" s="11"/>
      <c r="F443">
        <f>FossilMiddens!H139</f>
        <v>138.55000000000001</v>
      </c>
    </row>
    <row r="444" spans="1:6">
      <c r="A444" s="1" t="str">
        <f>FossilMiddens!A140</f>
        <v>BR4 (60cm)</v>
      </c>
      <c r="B444" s="1" t="s">
        <v>161</v>
      </c>
      <c r="C444" s="5">
        <f>FossilMiddens!I140</f>
        <v>-31.35</v>
      </c>
      <c r="E444" s="11"/>
      <c r="F444">
        <f>FossilMiddens!H140</f>
        <v>138.55000000000001</v>
      </c>
    </row>
    <row r="445" spans="1:6">
      <c r="A445" s="1" t="str">
        <f>FossilMiddens!A141</f>
        <v>BR4 (60cm)</v>
      </c>
      <c r="B445" s="1" t="s">
        <v>161</v>
      </c>
      <c r="C445" s="5">
        <f>FossilMiddens!I141</f>
        <v>-31.35</v>
      </c>
      <c r="E445" s="11"/>
      <c r="F445">
        <f>FossilMiddens!H141</f>
        <v>138.55000000000001</v>
      </c>
    </row>
    <row r="446" spans="1:6">
      <c r="A446" s="1" t="str">
        <f>FossilMiddens!A142</f>
        <v>BR7 (base)</v>
      </c>
      <c r="B446" s="1" t="s">
        <v>161</v>
      </c>
      <c r="C446" s="5">
        <f>FossilMiddens!I142</f>
        <v>-31.35</v>
      </c>
      <c r="E446" s="11"/>
      <c r="F446">
        <f>FossilMiddens!H142</f>
        <v>138.55000000000001</v>
      </c>
    </row>
    <row r="447" spans="1:6">
      <c r="A447" s="1" t="str">
        <f>FossilMiddens!A143</f>
        <v>BRACHINA 1 GORGE</v>
      </c>
      <c r="B447" s="1" t="s">
        <v>161</v>
      </c>
      <c r="C447" s="5">
        <f>FossilMiddens!I143</f>
        <v>-31.35</v>
      </c>
      <c r="E447" s="11"/>
      <c r="F447">
        <f>FossilMiddens!H143</f>
        <v>138.55000000000001</v>
      </c>
    </row>
    <row r="448" spans="1:6">
      <c r="A448" s="1" t="str">
        <f>FossilMiddens!A144</f>
        <v>BRACHINA 2</v>
      </c>
      <c r="B448" s="1" t="s">
        <v>161</v>
      </c>
      <c r="C448" s="5">
        <f>FossilMiddens!I144</f>
        <v>-31.35</v>
      </c>
      <c r="E448" s="11"/>
      <c r="F448">
        <f>FossilMiddens!H144</f>
        <v>138.55000000000001</v>
      </c>
    </row>
    <row r="449" spans="1:6">
      <c r="A449" s="1" t="str">
        <f>FossilMiddens!A145</f>
        <v>BR1 (base)</v>
      </c>
      <c r="B449" s="1" t="s">
        <v>161</v>
      </c>
      <c r="C449" s="5">
        <f>FossilMiddens!I145</f>
        <v>-31.35</v>
      </c>
      <c r="E449" s="11"/>
      <c r="F449">
        <f>FossilMiddens!H145</f>
        <v>138.55000000000001</v>
      </c>
    </row>
    <row r="450" spans="1:6">
      <c r="A450" s="1" t="str">
        <f>FossilMiddens!A146</f>
        <v>BR1 (top)</v>
      </c>
      <c r="B450" s="1" t="s">
        <v>161</v>
      </c>
      <c r="C450" s="5">
        <f>FossilMiddens!I146</f>
        <v>-31.35</v>
      </c>
      <c r="E450" s="11"/>
      <c r="F450">
        <f>FossilMiddens!H146</f>
        <v>138.55000000000001</v>
      </c>
    </row>
    <row r="451" spans="1:6">
      <c r="A451" s="1" t="str">
        <f>FossilMiddens!A147</f>
        <v>BR4 (10cm)</v>
      </c>
      <c r="B451" s="1" t="s">
        <v>161</v>
      </c>
      <c r="C451" s="5">
        <f>FossilMiddens!I147</f>
        <v>-31.35</v>
      </c>
      <c r="E451" s="11"/>
      <c r="F451">
        <f>FossilMiddens!H147</f>
        <v>138.55000000000001</v>
      </c>
    </row>
    <row r="452" spans="1:6">
      <c r="A452" s="1" t="str">
        <f>FossilMiddens!A148</f>
        <v>BR4 (20cm)</v>
      </c>
      <c r="B452" s="1" t="s">
        <v>161</v>
      </c>
      <c r="C452" s="5">
        <f>FossilMiddens!I148</f>
        <v>-31.35</v>
      </c>
      <c r="E452" s="11"/>
      <c r="F452">
        <f>FossilMiddens!H148</f>
        <v>138.55000000000001</v>
      </c>
    </row>
    <row r="453" spans="1:6">
      <c r="A453" s="1" t="str">
        <f>FossilMiddens!A149</f>
        <v>BR4 (30cm)</v>
      </c>
      <c r="B453" s="1" t="s">
        <v>161</v>
      </c>
      <c r="C453" s="5">
        <f>FossilMiddens!I149</f>
        <v>-31.35</v>
      </c>
      <c r="E453" s="11"/>
      <c r="F453">
        <f>FossilMiddens!H149</f>
        <v>138.55000000000001</v>
      </c>
    </row>
    <row r="454" spans="1:6">
      <c r="A454" s="1" t="str">
        <f>FossilMiddens!A150</f>
        <v>BR4 (40cm)</v>
      </c>
      <c r="B454" s="1" t="s">
        <v>161</v>
      </c>
      <c r="C454" s="5">
        <f>FossilMiddens!I150</f>
        <v>-31.35</v>
      </c>
      <c r="E454" s="11"/>
      <c r="F454">
        <f>FossilMiddens!H150</f>
        <v>138.55000000000001</v>
      </c>
    </row>
    <row r="455" spans="1:6">
      <c r="A455" s="1" t="str">
        <f>FossilMiddens!A151</f>
        <v>BR4 (50cm)</v>
      </c>
      <c r="B455" s="1" t="s">
        <v>161</v>
      </c>
      <c r="C455" s="5">
        <f>FossilMiddens!I151</f>
        <v>-31.35</v>
      </c>
      <c r="E455" s="11"/>
      <c r="F455">
        <f>FossilMiddens!H151</f>
        <v>138.55000000000001</v>
      </c>
    </row>
    <row r="456" spans="1:6">
      <c r="A456" s="1" t="str">
        <f>FossilMiddens!A152</f>
        <v>BR4 (60cm)</v>
      </c>
      <c r="B456" s="1" t="s">
        <v>161</v>
      </c>
      <c r="C456" s="5">
        <f>FossilMiddens!I152</f>
        <v>-31.35</v>
      </c>
      <c r="E456" s="11"/>
      <c r="F456">
        <f>FossilMiddens!H152</f>
        <v>138.55000000000001</v>
      </c>
    </row>
    <row r="457" spans="1:6">
      <c r="A457" s="1" t="str">
        <f>FossilMiddens!A153</f>
        <v>GH5 (II)</v>
      </c>
      <c r="B457" s="1" t="s">
        <v>161</v>
      </c>
      <c r="C457" s="5">
        <f>FossilMiddens!I153</f>
        <v>-31.166666666666668</v>
      </c>
      <c r="E457" s="11"/>
      <c r="F457">
        <f>FossilMiddens!H153</f>
        <v>142.6</v>
      </c>
    </row>
    <row r="458" spans="1:6">
      <c r="A458" s="1" t="str">
        <f>FossilMiddens!A154</f>
        <v>GH4 (base)</v>
      </c>
      <c r="B458" s="1" t="s">
        <v>161</v>
      </c>
      <c r="C458" s="5">
        <f>FossilMiddens!I154</f>
        <v>-31.166666666666668</v>
      </c>
      <c r="E458" s="11"/>
      <c r="F458">
        <f>FossilMiddens!H154</f>
        <v>142.6</v>
      </c>
    </row>
    <row r="459" spans="1:6">
      <c r="A459" s="1" t="str">
        <f>FossilMiddens!A155</f>
        <v>GH1 (top)</v>
      </c>
      <c r="B459" s="1" t="s">
        <v>161</v>
      </c>
      <c r="C459" s="5">
        <f>FossilMiddens!I155</f>
        <v>-31.166666666666668</v>
      </c>
      <c r="E459" s="11"/>
      <c r="F459">
        <f>FossilMiddens!H155</f>
        <v>142.6</v>
      </c>
    </row>
    <row r="460" spans="1:6">
      <c r="A460" s="1" t="str">
        <f>FossilMiddens!A156</f>
        <v>GH1 (base)</v>
      </c>
      <c r="B460" s="1" t="s">
        <v>161</v>
      </c>
      <c r="C460" s="5">
        <f>FossilMiddens!I156</f>
        <v>-31.166666666666668</v>
      </c>
      <c r="E460" s="11"/>
      <c r="F460">
        <f>FossilMiddens!H156</f>
        <v>142.6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9E37-BE10-402A-989C-D8F324D88A3B}">
  <dimension ref="A1:M25"/>
  <sheetViews>
    <sheetView topLeftCell="B1" workbookViewId="0">
      <selection activeCell="D28" sqref="D28"/>
    </sheetView>
  </sheetViews>
  <sheetFormatPr defaultRowHeight="12.75"/>
  <cols>
    <col min="1" max="1" width="10.85546875" bestFit="1" customWidth="1"/>
    <col min="2" max="2" width="11.140625" customWidth="1"/>
    <col min="3" max="3" width="15.7109375" bestFit="1" customWidth="1"/>
    <col min="4" max="4" width="19" bestFit="1" customWidth="1"/>
    <col min="5" max="5" width="9.5703125" bestFit="1" customWidth="1"/>
    <col min="6" max="6" width="7.5703125" bestFit="1" customWidth="1"/>
    <col min="7" max="7" width="9.28515625" bestFit="1" customWidth="1"/>
    <col min="8" max="8" width="9.7109375" bestFit="1" customWidth="1"/>
    <col min="9" max="9" width="11" bestFit="1" customWidth="1"/>
    <col min="10" max="10" width="10.7109375" bestFit="1" customWidth="1"/>
    <col min="11" max="11" width="11.28515625" bestFit="1" customWidth="1"/>
    <col min="12" max="12" width="9.85546875" bestFit="1" customWidth="1"/>
    <col min="13" max="13" width="15.28515625" bestFit="1" customWidth="1"/>
  </cols>
  <sheetData>
    <row r="1" spans="1:13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</row>
    <row r="2" spans="1:13">
      <c r="A2" t="s">
        <v>253</v>
      </c>
      <c r="B2" t="s">
        <v>254</v>
      </c>
      <c r="C2" t="s">
        <v>237</v>
      </c>
      <c r="D2" t="s">
        <v>255</v>
      </c>
      <c r="E2">
        <v>12055</v>
      </c>
      <c r="F2" t="s">
        <v>256</v>
      </c>
      <c r="G2">
        <v>-22</v>
      </c>
      <c r="H2">
        <v>137.25</v>
      </c>
      <c r="J2" s="11">
        <v>35329</v>
      </c>
      <c r="K2" s="11">
        <v>35329</v>
      </c>
      <c r="L2" t="s">
        <v>257</v>
      </c>
      <c r="M2" t="s">
        <v>258</v>
      </c>
    </row>
    <row r="3" spans="1:13">
      <c r="A3" t="s">
        <v>253</v>
      </c>
      <c r="B3" t="s">
        <v>254</v>
      </c>
      <c r="C3" t="s">
        <v>237</v>
      </c>
      <c r="D3" t="s">
        <v>255</v>
      </c>
      <c r="E3">
        <v>12055</v>
      </c>
      <c r="F3" t="s">
        <v>256</v>
      </c>
      <c r="G3">
        <v>-23.64</v>
      </c>
      <c r="H3">
        <v>133.88999999999999</v>
      </c>
      <c r="J3" s="11">
        <v>31976</v>
      </c>
      <c r="K3" s="11">
        <v>31976</v>
      </c>
      <c r="L3" t="s">
        <v>259</v>
      </c>
      <c r="M3" t="s">
        <v>260</v>
      </c>
    </row>
    <row r="4" spans="1:13">
      <c r="A4" t="s">
        <v>253</v>
      </c>
      <c r="B4" t="s">
        <v>254</v>
      </c>
      <c r="C4" t="s">
        <v>237</v>
      </c>
      <c r="D4" t="s">
        <v>255</v>
      </c>
      <c r="E4">
        <v>12055</v>
      </c>
      <c r="F4" t="s">
        <v>256</v>
      </c>
      <c r="G4">
        <v>-23.74</v>
      </c>
      <c r="H4">
        <v>133.97</v>
      </c>
      <c r="J4" s="11">
        <v>31829</v>
      </c>
      <c r="K4" s="11">
        <v>31829</v>
      </c>
      <c r="L4" t="s">
        <v>259</v>
      </c>
      <c r="M4" t="s">
        <v>260</v>
      </c>
    </row>
    <row r="5" spans="1:13">
      <c r="A5" t="s">
        <v>253</v>
      </c>
      <c r="B5" t="s">
        <v>254</v>
      </c>
      <c r="C5" t="s">
        <v>237</v>
      </c>
      <c r="D5" t="s">
        <v>255</v>
      </c>
      <c r="E5">
        <v>12055</v>
      </c>
      <c r="F5" t="s">
        <v>256</v>
      </c>
      <c r="G5">
        <v>-23.66</v>
      </c>
      <c r="H5">
        <v>134.33000000000001</v>
      </c>
      <c r="I5">
        <v>1800</v>
      </c>
      <c r="J5" s="11">
        <v>31923</v>
      </c>
      <c r="K5" s="11">
        <v>31923</v>
      </c>
      <c r="L5" t="s">
        <v>259</v>
      </c>
      <c r="M5" t="s">
        <v>261</v>
      </c>
    </row>
    <row r="6" spans="1:13">
      <c r="A6" t="s">
        <v>253</v>
      </c>
      <c r="B6" t="s">
        <v>254</v>
      </c>
      <c r="C6" t="s">
        <v>237</v>
      </c>
      <c r="D6" t="s">
        <v>255</v>
      </c>
      <c r="E6">
        <v>12055</v>
      </c>
      <c r="F6" t="s">
        <v>256</v>
      </c>
      <c r="G6">
        <v>-23.63</v>
      </c>
      <c r="H6">
        <v>134.43</v>
      </c>
      <c r="I6">
        <v>1800</v>
      </c>
      <c r="J6" s="11">
        <v>31941</v>
      </c>
      <c r="K6" s="11">
        <v>31941</v>
      </c>
      <c r="L6" t="s">
        <v>259</v>
      </c>
      <c r="M6" t="s">
        <v>261</v>
      </c>
    </row>
    <row r="7" spans="1:13">
      <c r="A7" t="s">
        <v>253</v>
      </c>
      <c r="B7" t="s">
        <v>254</v>
      </c>
      <c r="C7" t="s">
        <v>237</v>
      </c>
      <c r="D7" t="s">
        <v>255</v>
      </c>
      <c r="E7">
        <v>12055</v>
      </c>
      <c r="F7" t="s">
        <v>256</v>
      </c>
      <c r="G7">
        <v>-23.44</v>
      </c>
      <c r="H7">
        <v>134.72999999999999</v>
      </c>
      <c r="I7">
        <v>1000</v>
      </c>
      <c r="J7" s="11">
        <v>31913</v>
      </c>
      <c r="K7" s="11">
        <v>31913</v>
      </c>
      <c r="L7" t="s">
        <v>259</v>
      </c>
      <c r="M7" t="s">
        <v>262</v>
      </c>
    </row>
    <row r="8" spans="1:13">
      <c r="A8" t="s">
        <v>253</v>
      </c>
      <c r="B8" t="s">
        <v>254</v>
      </c>
      <c r="C8" t="s">
        <v>237</v>
      </c>
      <c r="D8" t="s">
        <v>255</v>
      </c>
      <c r="E8">
        <v>12055</v>
      </c>
      <c r="F8" t="s">
        <v>256</v>
      </c>
      <c r="G8">
        <v>-23.7</v>
      </c>
      <c r="H8">
        <v>134.80000000000001</v>
      </c>
      <c r="I8">
        <v>1000</v>
      </c>
      <c r="J8" s="11">
        <v>31571</v>
      </c>
      <c r="K8" s="11">
        <v>31571</v>
      </c>
      <c r="L8" t="s">
        <v>259</v>
      </c>
      <c r="M8" t="s">
        <v>263</v>
      </c>
    </row>
    <row r="9" spans="1:13">
      <c r="A9" t="s">
        <v>253</v>
      </c>
      <c r="B9" t="s">
        <v>254</v>
      </c>
      <c r="C9" t="s">
        <v>237</v>
      </c>
      <c r="D9" t="s">
        <v>255</v>
      </c>
      <c r="E9">
        <v>12055</v>
      </c>
      <c r="F9" t="s">
        <v>256</v>
      </c>
      <c r="G9">
        <v>-22.35</v>
      </c>
      <c r="H9">
        <v>134.88</v>
      </c>
      <c r="I9">
        <v>1800</v>
      </c>
      <c r="J9" s="11">
        <v>31847</v>
      </c>
      <c r="K9" s="11">
        <v>31847</v>
      </c>
      <c r="L9" t="s">
        <v>259</v>
      </c>
      <c r="M9" t="s">
        <v>264</v>
      </c>
    </row>
    <row r="10" spans="1:13">
      <c r="A10" t="s">
        <v>253</v>
      </c>
      <c r="B10" t="s">
        <v>254</v>
      </c>
      <c r="C10" t="s">
        <v>237</v>
      </c>
      <c r="D10" t="s">
        <v>255</v>
      </c>
      <c r="E10">
        <v>12055</v>
      </c>
      <c r="F10" t="s">
        <v>256</v>
      </c>
      <c r="G10">
        <v>-23.56</v>
      </c>
      <c r="H10">
        <v>135.01</v>
      </c>
      <c r="I10">
        <v>1800</v>
      </c>
      <c r="J10" t="s">
        <v>265</v>
      </c>
      <c r="K10" t="s">
        <v>265</v>
      </c>
      <c r="L10" t="s">
        <v>259</v>
      </c>
      <c r="M10" t="s">
        <v>263</v>
      </c>
    </row>
    <row r="11" spans="1:13">
      <c r="A11" t="s">
        <v>253</v>
      </c>
      <c r="B11" t="s">
        <v>254</v>
      </c>
      <c r="C11" t="s">
        <v>237</v>
      </c>
      <c r="D11" t="s">
        <v>255</v>
      </c>
      <c r="E11">
        <v>12055</v>
      </c>
      <c r="F11" t="s">
        <v>256</v>
      </c>
      <c r="G11">
        <v>-22.78</v>
      </c>
      <c r="H11">
        <v>135.08000000000001</v>
      </c>
      <c r="I11">
        <v>1800</v>
      </c>
      <c r="J11" s="11">
        <v>31846</v>
      </c>
      <c r="K11" s="11">
        <v>31846</v>
      </c>
      <c r="L11" t="s">
        <v>259</v>
      </c>
      <c r="M11" t="s">
        <v>264</v>
      </c>
    </row>
    <row r="12" spans="1:13">
      <c r="A12" t="s">
        <v>253</v>
      </c>
      <c r="B12" t="s">
        <v>254</v>
      </c>
      <c r="C12" t="s">
        <v>237</v>
      </c>
      <c r="D12" t="s">
        <v>255</v>
      </c>
      <c r="E12">
        <v>12055</v>
      </c>
      <c r="F12" t="s">
        <v>256</v>
      </c>
      <c r="G12">
        <v>-23.85</v>
      </c>
      <c r="H12">
        <v>137.16</v>
      </c>
      <c r="I12">
        <v>1800</v>
      </c>
      <c r="J12" s="11">
        <v>31119</v>
      </c>
      <c r="K12" s="11">
        <v>31119</v>
      </c>
      <c r="L12" t="s">
        <v>259</v>
      </c>
      <c r="M12" t="s">
        <v>266</v>
      </c>
    </row>
    <row r="13" spans="1:13">
      <c r="A13" t="s">
        <v>253</v>
      </c>
      <c r="B13" t="s">
        <v>254</v>
      </c>
      <c r="C13" t="s">
        <v>237</v>
      </c>
      <c r="D13" t="s">
        <v>255</v>
      </c>
      <c r="E13">
        <v>12055</v>
      </c>
      <c r="F13" t="s">
        <v>256</v>
      </c>
      <c r="G13">
        <v>-23.83</v>
      </c>
      <c r="H13">
        <v>137.18</v>
      </c>
      <c r="I13">
        <v>1800</v>
      </c>
      <c r="J13" s="11">
        <v>31119</v>
      </c>
      <c r="K13" s="11">
        <v>31119</v>
      </c>
      <c r="L13" t="s">
        <v>259</v>
      </c>
      <c r="M13" t="s">
        <v>266</v>
      </c>
    </row>
    <row r="14" spans="1:13">
      <c r="A14" t="s">
        <v>253</v>
      </c>
      <c r="B14" t="s">
        <v>254</v>
      </c>
      <c r="C14" t="s">
        <v>237</v>
      </c>
      <c r="D14" t="s">
        <v>255</v>
      </c>
      <c r="E14">
        <v>12055</v>
      </c>
      <c r="F14" t="s">
        <v>256</v>
      </c>
      <c r="G14">
        <v>-22</v>
      </c>
      <c r="H14">
        <v>137.25</v>
      </c>
      <c r="J14" s="11">
        <v>35329</v>
      </c>
      <c r="K14" s="11">
        <v>35329</v>
      </c>
      <c r="L14" t="s">
        <v>259</v>
      </c>
      <c r="M14" t="s">
        <v>258</v>
      </c>
    </row>
    <row r="15" spans="1:13">
      <c r="A15" t="s">
        <v>253</v>
      </c>
      <c r="B15" t="s">
        <v>254</v>
      </c>
      <c r="C15" t="s">
        <v>237</v>
      </c>
      <c r="D15" t="s">
        <v>255</v>
      </c>
      <c r="E15">
        <v>12055</v>
      </c>
      <c r="F15" t="s">
        <v>256</v>
      </c>
      <c r="G15">
        <v>-22</v>
      </c>
      <c r="H15">
        <v>137.32</v>
      </c>
      <c r="J15" s="11">
        <v>35329</v>
      </c>
      <c r="K15" s="11">
        <v>35329</v>
      </c>
      <c r="L15" t="s">
        <v>259</v>
      </c>
      <c r="M15" t="s">
        <v>258</v>
      </c>
    </row>
    <row r="16" spans="1:13">
      <c r="A16" t="s">
        <v>253</v>
      </c>
      <c r="B16" t="s">
        <v>254</v>
      </c>
      <c r="C16" t="s">
        <v>237</v>
      </c>
      <c r="D16" t="s">
        <v>255</v>
      </c>
      <c r="E16">
        <v>12055</v>
      </c>
      <c r="F16" t="s">
        <v>256</v>
      </c>
      <c r="G16">
        <v>-23.8</v>
      </c>
      <c r="H16">
        <v>130.83000000000001</v>
      </c>
      <c r="I16">
        <v>1800</v>
      </c>
      <c r="J16" s="11">
        <v>31624</v>
      </c>
      <c r="K16" s="11">
        <v>31624</v>
      </c>
      <c r="L16" t="s">
        <v>259</v>
      </c>
      <c r="M16" t="s">
        <v>267</v>
      </c>
    </row>
    <row r="17" spans="1:13">
      <c r="A17" t="s">
        <v>253</v>
      </c>
      <c r="B17" t="s">
        <v>254</v>
      </c>
      <c r="C17" t="s">
        <v>237</v>
      </c>
      <c r="D17" t="s">
        <v>255</v>
      </c>
      <c r="E17">
        <v>12055</v>
      </c>
      <c r="F17" t="s">
        <v>256</v>
      </c>
      <c r="G17">
        <v>-23.83</v>
      </c>
      <c r="H17">
        <v>131.31</v>
      </c>
      <c r="I17">
        <v>1800</v>
      </c>
      <c r="J17" s="11">
        <v>31623</v>
      </c>
      <c r="K17" s="11">
        <v>31623</v>
      </c>
      <c r="L17" t="s">
        <v>259</v>
      </c>
      <c r="M17" t="s">
        <v>267</v>
      </c>
    </row>
    <row r="18" spans="1:13">
      <c r="A18" t="s">
        <v>253</v>
      </c>
      <c r="B18" t="s">
        <v>254</v>
      </c>
      <c r="C18" t="s">
        <v>237</v>
      </c>
      <c r="D18" t="s">
        <v>255</v>
      </c>
      <c r="E18">
        <v>12055</v>
      </c>
      <c r="F18" t="s">
        <v>256</v>
      </c>
      <c r="G18">
        <v>-25.35</v>
      </c>
      <c r="H18">
        <v>131.03</v>
      </c>
      <c r="I18">
        <v>1800</v>
      </c>
      <c r="J18" t="s">
        <v>268</v>
      </c>
      <c r="K18" t="s">
        <v>268</v>
      </c>
      <c r="L18" t="s">
        <v>259</v>
      </c>
      <c r="M18" t="s">
        <v>269</v>
      </c>
    </row>
    <row r="19" spans="1:13">
      <c r="A19" t="s">
        <v>253</v>
      </c>
      <c r="B19" t="s">
        <v>254</v>
      </c>
      <c r="C19" t="s">
        <v>237</v>
      </c>
      <c r="D19" t="s">
        <v>255</v>
      </c>
      <c r="E19">
        <v>12055</v>
      </c>
      <c r="F19" t="s">
        <v>256</v>
      </c>
      <c r="G19">
        <v>-25.35</v>
      </c>
      <c r="H19">
        <v>131.03</v>
      </c>
      <c r="I19">
        <v>1800</v>
      </c>
      <c r="J19" t="s">
        <v>268</v>
      </c>
      <c r="K19" t="s">
        <v>268</v>
      </c>
      <c r="L19" t="s">
        <v>259</v>
      </c>
      <c r="M19" t="s">
        <v>269</v>
      </c>
    </row>
    <row r="20" spans="1:13">
      <c r="A20" t="s">
        <v>253</v>
      </c>
      <c r="B20" t="s">
        <v>254</v>
      </c>
      <c r="C20" t="s">
        <v>237</v>
      </c>
      <c r="D20" t="s">
        <v>255</v>
      </c>
      <c r="E20">
        <v>12055</v>
      </c>
      <c r="F20" t="s">
        <v>256</v>
      </c>
      <c r="G20">
        <v>-25.35</v>
      </c>
      <c r="H20">
        <v>131.03</v>
      </c>
      <c r="J20" t="s">
        <v>270</v>
      </c>
      <c r="K20" t="s">
        <v>270</v>
      </c>
      <c r="L20" t="s">
        <v>271</v>
      </c>
      <c r="M20" t="s">
        <v>272</v>
      </c>
    </row>
    <row r="21" spans="1:13">
      <c r="A21" t="s">
        <v>253</v>
      </c>
      <c r="B21" t="s">
        <v>254</v>
      </c>
      <c r="C21" t="s">
        <v>237</v>
      </c>
      <c r="D21" t="s">
        <v>255</v>
      </c>
      <c r="E21">
        <v>12055</v>
      </c>
      <c r="F21" t="s">
        <v>256</v>
      </c>
      <c r="G21">
        <v>-25.35</v>
      </c>
      <c r="H21">
        <v>131.03</v>
      </c>
      <c r="J21" t="s">
        <v>270</v>
      </c>
      <c r="K21" t="s">
        <v>270</v>
      </c>
      <c r="L21" t="s">
        <v>271</v>
      </c>
      <c r="M21" t="s">
        <v>272</v>
      </c>
    </row>
    <row r="22" spans="1:13">
      <c r="A22" t="s">
        <v>253</v>
      </c>
      <c r="B22" t="s">
        <v>254</v>
      </c>
      <c r="C22" t="s">
        <v>237</v>
      </c>
      <c r="D22" t="s">
        <v>255</v>
      </c>
      <c r="E22">
        <v>12055</v>
      </c>
      <c r="F22" t="s">
        <v>256</v>
      </c>
      <c r="G22">
        <v>-24.03</v>
      </c>
      <c r="H22">
        <v>133.41</v>
      </c>
      <c r="I22">
        <v>250</v>
      </c>
      <c r="J22" s="11">
        <v>33147</v>
      </c>
      <c r="K22" s="11">
        <v>33147</v>
      </c>
      <c r="L22" t="s">
        <v>273</v>
      </c>
      <c r="M22" t="s">
        <v>274</v>
      </c>
    </row>
    <row r="23" spans="1:13">
      <c r="A23" t="s">
        <v>253</v>
      </c>
      <c r="B23" t="s">
        <v>254</v>
      </c>
      <c r="C23" t="s">
        <v>237</v>
      </c>
      <c r="D23" t="s">
        <v>255</v>
      </c>
      <c r="E23">
        <v>12055</v>
      </c>
      <c r="F23" t="s">
        <v>256</v>
      </c>
      <c r="G23">
        <v>-25.96</v>
      </c>
      <c r="H23">
        <v>133.86000000000001</v>
      </c>
      <c r="I23">
        <v>1800</v>
      </c>
      <c r="J23" s="11">
        <v>31617</v>
      </c>
      <c r="K23" s="11">
        <v>31617</v>
      </c>
      <c r="L23" t="s">
        <v>259</v>
      </c>
      <c r="M23" t="s">
        <v>275</v>
      </c>
    </row>
    <row r="24" spans="1:13">
      <c r="A24" t="s">
        <v>253</v>
      </c>
      <c r="B24" t="s">
        <v>254</v>
      </c>
      <c r="C24" t="s">
        <v>237</v>
      </c>
      <c r="D24" t="s">
        <v>255</v>
      </c>
      <c r="E24">
        <v>12055</v>
      </c>
      <c r="F24" t="s">
        <v>256</v>
      </c>
      <c r="G24">
        <v>-25.98</v>
      </c>
      <c r="H24">
        <v>133.9</v>
      </c>
      <c r="I24">
        <v>1800</v>
      </c>
      <c r="J24" s="11">
        <v>31617</v>
      </c>
      <c r="K24" s="11">
        <v>31617</v>
      </c>
      <c r="L24" t="s">
        <v>259</v>
      </c>
      <c r="M24" t="s">
        <v>275</v>
      </c>
    </row>
    <row r="25" spans="1:13">
      <c r="A25" t="s">
        <v>253</v>
      </c>
      <c r="B25" t="s">
        <v>254</v>
      </c>
      <c r="C25" t="s">
        <v>237</v>
      </c>
      <c r="D25" t="s">
        <v>255</v>
      </c>
      <c r="E25">
        <v>12055</v>
      </c>
      <c r="F25" t="s">
        <v>256</v>
      </c>
      <c r="G25">
        <v>-24.56</v>
      </c>
      <c r="H25">
        <v>135.75</v>
      </c>
      <c r="I25">
        <v>1800</v>
      </c>
      <c r="J25" s="11">
        <v>31352</v>
      </c>
      <c r="K25" s="11">
        <v>31352</v>
      </c>
      <c r="L25" t="s">
        <v>259</v>
      </c>
      <c r="M25" t="s">
        <v>266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DB32-57FF-4FE5-85A7-1626663AF0BC}">
  <dimension ref="A1:Y161"/>
  <sheetViews>
    <sheetView workbookViewId="0">
      <pane xSplit="1" ySplit="1" topLeftCell="B2" activePane="bottomRight" state="frozen"/>
      <selection pane="bottomRight" activeCell="H1" sqref="H1"/>
      <selection pane="bottomLeft" activeCell="A2" sqref="A2"/>
      <selection pane="topRight" activeCell="B1" sqref="B1"/>
    </sheetView>
  </sheetViews>
  <sheetFormatPr defaultColWidth="5.5703125" defaultRowHeight="11.25"/>
  <cols>
    <col min="1" max="1" width="19.85546875" style="20" customWidth="1"/>
    <col min="2" max="2" width="9.7109375" style="20" customWidth="1"/>
    <col min="3" max="3" width="12.5703125" style="20" customWidth="1"/>
    <col min="4" max="4" width="8.28515625" style="20" customWidth="1"/>
    <col min="5" max="5" width="3.85546875" style="21" customWidth="1"/>
    <col min="6" max="7" width="8" style="20" customWidth="1"/>
    <col min="8" max="9" width="12.5703125" style="20" customWidth="1"/>
    <col min="10" max="10" width="8.85546875" style="20" customWidth="1"/>
    <col min="11" max="11" width="5.5703125" style="20" customWidth="1"/>
    <col min="12" max="12" width="7.140625" style="20" customWidth="1"/>
    <col min="13" max="13" width="5.7109375" style="20" customWidth="1"/>
    <col min="14" max="14" width="3.7109375" style="20" customWidth="1"/>
    <col min="15" max="15" width="8.42578125" style="20" customWidth="1"/>
    <col min="16" max="16" width="9.85546875" style="20" customWidth="1"/>
    <col min="17" max="17" width="13" style="20" customWidth="1"/>
    <col min="18" max="19" width="5.5703125" style="20" customWidth="1"/>
    <col min="20" max="20" width="5.5703125" style="25" customWidth="1"/>
    <col min="21" max="22" width="5.5703125" style="20" customWidth="1"/>
    <col min="23" max="23" width="5.5703125" style="26" customWidth="1"/>
    <col min="24" max="16384" width="5.5703125" style="20"/>
  </cols>
  <sheetData>
    <row r="1" spans="1:24">
      <c r="A1" s="13" t="s">
        <v>276</v>
      </c>
      <c r="B1" s="14" t="s">
        <v>277</v>
      </c>
      <c r="C1" s="14" t="s">
        <v>278</v>
      </c>
      <c r="D1" s="14" t="s">
        <v>279</v>
      </c>
      <c r="E1" s="15" t="s">
        <v>280</v>
      </c>
      <c r="F1" s="13" t="s">
        <v>281</v>
      </c>
      <c r="G1" s="14" t="s">
        <v>282</v>
      </c>
      <c r="H1" s="13" t="s">
        <v>281</v>
      </c>
      <c r="I1" s="14" t="s">
        <v>282</v>
      </c>
      <c r="J1" s="14" t="s">
        <v>283</v>
      </c>
      <c r="K1" s="13" t="s">
        <v>284</v>
      </c>
      <c r="L1" s="16" t="s">
        <v>285</v>
      </c>
      <c r="M1" s="17"/>
      <c r="N1" s="13" t="s">
        <v>286</v>
      </c>
      <c r="O1" s="13" t="s">
        <v>287</v>
      </c>
      <c r="P1" s="13"/>
      <c r="Q1" s="13" t="s">
        <v>288</v>
      </c>
      <c r="R1" s="13" t="s">
        <v>289</v>
      </c>
      <c r="S1" s="13" t="s">
        <v>289</v>
      </c>
      <c r="T1" s="18" t="s">
        <v>290</v>
      </c>
      <c r="U1" s="17" t="s">
        <v>291</v>
      </c>
      <c r="V1" s="17" t="s">
        <v>292</v>
      </c>
      <c r="W1" s="19" t="s">
        <v>293</v>
      </c>
      <c r="X1" s="17" t="s">
        <v>294</v>
      </c>
    </row>
    <row r="2" spans="1:24" customFormat="1" ht="12.75" customHeight="1">
      <c r="A2" s="39" t="s">
        <v>295</v>
      </c>
      <c r="B2">
        <v>2002</v>
      </c>
      <c r="C2" t="s">
        <v>296</v>
      </c>
      <c r="D2" t="s">
        <v>297</v>
      </c>
      <c r="H2" s="5">
        <v>134.69999999999999</v>
      </c>
      <c r="I2" s="5">
        <v>-23.45</v>
      </c>
      <c r="J2" s="1" t="s">
        <v>298</v>
      </c>
      <c r="K2" t="s">
        <v>299</v>
      </c>
      <c r="L2" t="s">
        <v>300</v>
      </c>
      <c r="O2" t="s">
        <v>301</v>
      </c>
      <c r="Q2" t="s">
        <v>302</v>
      </c>
      <c r="R2" s="39" t="s">
        <v>303</v>
      </c>
      <c r="X2" s="1" t="s">
        <v>304</v>
      </c>
    </row>
    <row r="3" spans="1:24" customFormat="1" ht="12.75" customHeight="1">
      <c r="A3" s="39" t="s">
        <v>305</v>
      </c>
      <c r="B3">
        <v>2002</v>
      </c>
      <c r="C3" t="s">
        <v>296</v>
      </c>
      <c r="H3" s="5">
        <v>134.69999999999999</v>
      </c>
      <c r="I3" s="5">
        <v>-23.45</v>
      </c>
      <c r="J3" s="1" t="s">
        <v>298</v>
      </c>
      <c r="K3" t="s">
        <v>299</v>
      </c>
      <c r="L3" t="s">
        <v>300</v>
      </c>
      <c r="O3" t="s">
        <v>306</v>
      </c>
      <c r="Q3" t="s">
        <v>302</v>
      </c>
      <c r="R3" s="39" t="s">
        <v>303</v>
      </c>
      <c r="X3" s="1" t="s">
        <v>304</v>
      </c>
    </row>
    <row r="4" spans="1:24" customFormat="1" ht="12.75" customHeight="1">
      <c r="A4" s="39" t="s">
        <v>307</v>
      </c>
      <c r="B4">
        <v>2002</v>
      </c>
      <c r="C4" t="s">
        <v>296</v>
      </c>
      <c r="H4" s="5">
        <v>134.69999999999999</v>
      </c>
      <c r="I4" s="5">
        <v>-23.45</v>
      </c>
      <c r="J4" s="1" t="s">
        <v>298</v>
      </c>
      <c r="K4" t="s">
        <v>299</v>
      </c>
      <c r="L4">
        <v>433</v>
      </c>
      <c r="M4" s="23" t="s">
        <v>308</v>
      </c>
      <c r="N4">
        <v>60</v>
      </c>
      <c r="O4" t="s">
        <v>309</v>
      </c>
      <c r="Q4" t="s">
        <v>302</v>
      </c>
      <c r="R4" s="39" t="s">
        <v>303</v>
      </c>
      <c r="X4" s="1" t="s">
        <v>304</v>
      </c>
    </row>
    <row r="5" spans="1:24" customFormat="1" ht="12.75" customHeight="1">
      <c r="A5" s="39" t="s">
        <v>310</v>
      </c>
      <c r="B5">
        <v>2002</v>
      </c>
      <c r="C5" t="s">
        <v>296</v>
      </c>
      <c r="H5" s="5">
        <v>134.69999999999999</v>
      </c>
      <c r="I5" s="5">
        <v>-23.45</v>
      </c>
      <c r="J5" s="1" t="s">
        <v>298</v>
      </c>
      <c r="K5" t="s">
        <v>299</v>
      </c>
      <c r="L5">
        <v>606</v>
      </c>
      <c r="M5" s="23" t="s">
        <v>308</v>
      </c>
      <c r="N5">
        <v>136</v>
      </c>
      <c r="O5" t="s">
        <v>311</v>
      </c>
      <c r="Q5" t="s">
        <v>302</v>
      </c>
      <c r="R5" s="39" t="s">
        <v>303</v>
      </c>
      <c r="X5" s="1" t="s">
        <v>304</v>
      </c>
    </row>
    <row r="6" spans="1:24" customFormat="1" ht="12.75" customHeight="1">
      <c r="A6" s="39" t="s">
        <v>312</v>
      </c>
      <c r="B6">
        <v>2002</v>
      </c>
      <c r="C6" t="s">
        <v>296</v>
      </c>
      <c r="D6" s="39"/>
      <c r="E6" s="39"/>
      <c r="G6" s="39"/>
      <c r="H6" s="5">
        <v>134.69999999999999</v>
      </c>
      <c r="I6" s="5">
        <v>-23.45</v>
      </c>
      <c r="J6" s="1" t="s">
        <v>298</v>
      </c>
      <c r="K6" t="s">
        <v>299</v>
      </c>
      <c r="L6">
        <v>835</v>
      </c>
      <c r="M6" s="23" t="s">
        <v>308</v>
      </c>
      <c r="N6">
        <v>62</v>
      </c>
      <c r="O6" t="s">
        <v>313</v>
      </c>
      <c r="Q6" t="s">
        <v>302</v>
      </c>
      <c r="R6" s="39" t="s">
        <v>303</v>
      </c>
      <c r="X6" s="1" t="s">
        <v>304</v>
      </c>
    </row>
    <row r="7" spans="1:24" customFormat="1" ht="12.75" customHeight="1">
      <c r="A7" s="39" t="s">
        <v>314</v>
      </c>
      <c r="B7">
        <v>2002</v>
      </c>
      <c r="C7" t="s">
        <v>296</v>
      </c>
      <c r="D7" s="39"/>
      <c r="E7" s="39"/>
      <c r="G7" s="39"/>
      <c r="H7" s="5">
        <v>134.69999999999999</v>
      </c>
      <c r="I7" s="5">
        <v>-23.45</v>
      </c>
      <c r="J7" s="1" t="s">
        <v>298</v>
      </c>
      <c r="K7" t="s">
        <v>299</v>
      </c>
      <c r="L7">
        <v>2500</v>
      </c>
      <c r="M7" s="23" t="s">
        <v>308</v>
      </c>
      <c r="N7">
        <v>40</v>
      </c>
      <c r="O7" s="39" t="s">
        <v>315</v>
      </c>
      <c r="Q7" t="s">
        <v>316</v>
      </c>
      <c r="R7" s="39" t="s">
        <v>303</v>
      </c>
      <c r="X7" s="1" t="s">
        <v>304</v>
      </c>
    </row>
    <row r="8" spans="1:24" s="44" customFormat="1" ht="14.25" customHeight="1">
      <c r="A8" s="43" t="s">
        <v>317</v>
      </c>
      <c r="B8" s="43">
        <v>2002</v>
      </c>
      <c r="C8" s="44" t="s">
        <v>318</v>
      </c>
      <c r="G8" s="45">
        <v>132.19999999999999</v>
      </c>
      <c r="H8" s="45">
        <v>132.19999999999999</v>
      </c>
      <c r="I8" s="45">
        <v>-24.433333333333334</v>
      </c>
      <c r="J8" s="44" t="s">
        <v>319</v>
      </c>
      <c r="K8" s="44" t="s">
        <v>299</v>
      </c>
      <c r="L8" s="44">
        <v>360</v>
      </c>
      <c r="M8" s="23" t="s">
        <v>308</v>
      </c>
      <c r="N8" s="44">
        <v>82</v>
      </c>
      <c r="O8" s="44" t="s">
        <v>320</v>
      </c>
      <c r="Q8" s="44" t="s">
        <v>302</v>
      </c>
      <c r="R8" s="42" t="s">
        <v>303</v>
      </c>
    </row>
    <row r="9" spans="1:24" s="44" customFormat="1" ht="14.25" customHeight="1">
      <c r="A9" s="43" t="s">
        <v>321</v>
      </c>
      <c r="B9" s="43">
        <v>2002</v>
      </c>
      <c r="C9" s="44" t="s">
        <v>318</v>
      </c>
      <c r="G9" s="45"/>
      <c r="H9" s="45">
        <v>132.19999999999999</v>
      </c>
      <c r="I9" s="45">
        <v>-24.433333333333334</v>
      </c>
      <c r="J9" s="44" t="s">
        <v>319</v>
      </c>
      <c r="K9" s="44" t="s">
        <v>299</v>
      </c>
      <c r="L9" s="44">
        <v>552</v>
      </c>
      <c r="M9" s="23" t="s">
        <v>308</v>
      </c>
      <c r="N9" s="44">
        <v>128</v>
      </c>
      <c r="O9" s="44" t="s">
        <v>320</v>
      </c>
      <c r="Q9" s="44" t="s">
        <v>302</v>
      </c>
      <c r="R9" s="42" t="s">
        <v>303</v>
      </c>
    </row>
    <row r="10" spans="1:24" s="44" customFormat="1" ht="14.25" customHeight="1">
      <c r="A10" s="43" t="s">
        <v>322</v>
      </c>
      <c r="B10" s="43">
        <v>2002</v>
      </c>
      <c r="C10" s="44" t="s">
        <v>318</v>
      </c>
      <c r="G10" s="45"/>
      <c r="H10" s="45">
        <v>132.19999999999999</v>
      </c>
      <c r="I10" s="45">
        <v>-24.433333333333334</v>
      </c>
      <c r="J10" s="44" t="s">
        <v>319</v>
      </c>
      <c r="K10" s="44" t="s">
        <v>299</v>
      </c>
      <c r="L10" s="44">
        <v>756</v>
      </c>
      <c r="M10" s="23" t="s">
        <v>308</v>
      </c>
      <c r="N10" s="44">
        <v>78</v>
      </c>
      <c r="O10" s="44" t="s">
        <v>320</v>
      </c>
      <c r="Q10" s="44" t="s">
        <v>302</v>
      </c>
      <c r="R10" s="42" t="s">
        <v>303</v>
      </c>
    </row>
    <row r="11" spans="1:24" s="44" customFormat="1" ht="14.25" customHeight="1">
      <c r="A11" s="43" t="s">
        <v>323</v>
      </c>
      <c r="B11" s="43">
        <v>2002</v>
      </c>
      <c r="C11" s="44" t="s">
        <v>318</v>
      </c>
      <c r="G11" s="45"/>
      <c r="H11" s="45">
        <v>132.19999999999999</v>
      </c>
      <c r="I11" s="45">
        <v>-24.433333333333334</v>
      </c>
      <c r="J11" s="44" t="s">
        <v>319</v>
      </c>
      <c r="K11" s="44" t="s">
        <v>299</v>
      </c>
      <c r="L11" s="44">
        <v>988</v>
      </c>
      <c r="M11" s="23" t="s">
        <v>308</v>
      </c>
      <c r="N11" s="44">
        <v>66</v>
      </c>
      <c r="O11" s="44" t="s">
        <v>320</v>
      </c>
      <c r="Q11" s="44" t="s">
        <v>302</v>
      </c>
      <c r="R11" s="42" t="s">
        <v>303</v>
      </c>
    </row>
    <row r="12" spans="1:24" s="44" customFormat="1" ht="14.25" customHeight="1">
      <c r="A12" s="43" t="s">
        <v>324</v>
      </c>
      <c r="B12" s="43">
        <v>2002</v>
      </c>
      <c r="C12" s="44" t="s">
        <v>318</v>
      </c>
      <c r="G12" s="45"/>
      <c r="H12" s="45">
        <v>132.19999999999999</v>
      </c>
      <c r="I12" s="45">
        <v>-24.433333333333334</v>
      </c>
      <c r="J12" s="44" t="s">
        <v>319</v>
      </c>
      <c r="K12" s="44" t="s">
        <v>299</v>
      </c>
      <c r="L12" s="44">
        <v>3090</v>
      </c>
      <c r="M12" s="23" t="s">
        <v>308</v>
      </c>
      <c r="N12" s="44">
        <v>65</v>
      </c>
      <c r="O12" s="44" t="s">
        <v>320</v>
      </c>
      <c r="Q12" s="44" t="s">
        <v>302</v>
      </c>
      <c r="R12" s="42" t="s">
        <v>303</v>
      </c>
    </row>
    <row r="13" spans="1:24" s="44" customFormat="1" ht="12.75">
      <c r="A13" s="43" t="s">
        <v>325</v>
      </c>
      <c r="B13" s="43"/>
      <c r="F13" s="45"/>
      <c r="G13" s="45"/>
      <c r="H13" s="45"/>
      <c r="I13" s="45"/>
      <c r="J13" s="44" t="s">
        <v>326</v>
      </c>
      <c r="L13" s="44" t="s">
        <v>327</v>
      </c>
    </row>
    <row r="14" spans="1:24">
      <c r="A14" s="27" t="s">
        <v>328</v>
      </c>
      <c r="B14" s="20">
        <v>1990</v>
      </c>
      <c r="C14" s="20" t="s">
        <v>329</v>
      </c>
      <c r="E14" s="21" t="s">
        <v>330</v>
      </c>
      <c r="F14" s="24">
        <v>24</v>
      </c>
      <c r="G14" s="24">
        <v>133</v>
      </c>
      <c r="H14" s="40">
        <v>133</v>
      </c>
      <c r="I14" s="40">
        <v>-24</v>
      </c>
      <c r="J14" s="24" t="s">
        <v>331</v>
      </c>
      <c r="K14" s="20" t="s">
        <v>332</v>
      </c>
      <c r="L14" s="26">
        <v>-2780</v>
      </c>
      <c r="M14" s="23" t="s">
        <v>308</v>
      </c>
      <c r="N14" s="24">
        <v>100</v>
      </c>
      <c r="O14" s="20" t="s">
        <v>332</v>
      </c>
      <c r="Q14" s="27" t="s">
        <v>302</v>
      </c>
      <c r="S14" s="20" t="s">
        <v>333</v>
      </c>
      <c r="W14" s="26" t="s">
        <v>334</v>
      </c>
    </row>
    <row r="15" spans="1:24">
      <c r="A15" s="27" t="s">
        <v>328</v>
      </c>
      <c r="B15" s="20">
        <v>1990</v>
      </c>
      <c r="C15" s="20" t="s">
        <v>329</v>
      </c>
      <c r="E15" s="21" t="s">
        <v>330</v>
      </c>
      <c r="F15" s="24">
        <v>24</v>
      </c>
      <c r="G15" s="24">
        <v>133</v>
      </c>
      <c r="H15" s="40">
        <v>133</v>
      </c>
      <c r="I15" s="40">
        <v>-24</v>
      </c>
      <c r="J15" s="24" t="s">
        <v>331</v>
      </c>
      <c r="K15" s="20" t="s">
        <v>335</v>
      </c>
      <c r="L15" s="26">
        <v>-1660</v>
      </c>
      <c r="M15" s="23" t="s">
        <v>308</v>
      </c>
      <c r="N15" s="24">
        <v>100</v>
      </c>
      <c r="O15" s="20" t="s">
        <v>335</v>
      </c>
      <c r="Q15" s="27" t="s">
        <v>302</v>
      </c>
      <c r="S15" s="20" t="s">
        <v>333</v>
      </c>
      <c r="W15" s="26" t="s">
        <v>336</v>
      </c>
    </row>
    <row r="16" spans="1:24">
      <c r="A16" s="20" t="s">
        <v>337</v>
      </c>
      <c r="B16" s="20">
        <v>1993</v>
      </c>
      <c r="C16" s="20" t="s">
        <v>338</v>
      </c>
      <c r="E16" s="21" t="s">
        <v>339</v>
      </c>
      <c r="F16" s="27" t="s">
        <v>340</v>
      </c>
      <c r="G16" s="20" t="s">
        <v>341</v>
      </c>
      <c r="H16" s="40">
        <v>119.66666666666667</v>
      </c>
      <c r="I16" s="40">
        <v>-30.5</v>
      </c>
      <c r="J16" s="20" t="s">
        <v>342</v>
      </c>
      <c r="K16" s="27" t="s">
        <v>343</v>
      </c>
      <c r="L16" s="26">
        <v>-340</v>
      </c>
      <c r="M16" s="23" t="s">
        <v>308</v>
      </c>
      <c r="N16" s="24">
        <v>55</v>
      </c>
      <c r="O16" s="20" t="s">
        <v>344</v>
      </c>
      <c r="P16" s="20">
        <v>1</v>
      </c>
      <c r="Q16" s="27" t="s">
        <v>316</v>
      </c>
      <c r="R16" s="20" t="s">
        <v>345</v>
      </c>
      <c r="S16" s="20" t="s">
        <v>345</v>
      </c>
      <c r="T16" s="25">
        <v>-25</v>
      </c>
      <c r="U16" s="27" t="s">
        <v>346</v>
      </c>
      <c r="V16" s="20" t="s">
        <v>347</v>
      </c>
      <c r="W16" s="26" t="s">
        <v>334</v>
      </c>
    </row>
    <row r="17" spans="1:25">
      <c r="A17" s="20" t="s">
        <v>348</v>
      </c>
      <c r="B17" s="20">
        <v>1997</v>
      </c>
      <c r="C17" s="20" t="s">
        <v>349</v>
      </c>
      <c r="E17" s="21">
        <v>6</v>
      </c>
      <c r="F17" s="27" t="s">
        <v>350</v>
      </c>
      <c r="G17" s="20" t="s">
        <v>351</v>
      </c>
      <c r="H17" s="40">
        <v>134.5</v>
      </c>
      <c r="I17" s="40">
        <v>-23.5</v>
      </c>
      <c r="J17" s="20" t="s">
        <v>352</v>
      </c>
      <c r="K17" s="27" t="s">
        <v>343</v>
      </c>
      <c r="L17" s="26">
        <v>-2400</v>
      </c>
      <c r="M17" s="23" t="s">
        <v>308</v>
      </c>
      <c r="N17" s="24">
        <v>290</v>
      </c>
      <c r="O17" s="20" t="s">
        <v>353</v>
      </c>
      <c r="P17" s="20">
        <v>1</v>
      </c>
      <c r="Q17" s="27" t="s">
        <v>316</v>
      </c>
      <c r="R17" s="20" t="s">
        <v>345</v>
      </c>
      <c r="S17" s="20" t="s">
        <v>345</v>
      </c>
      <c r="T17" s="25">
        <v>-25</v>
      </c>
      <c r="U17" s="27" t="s">
        <v>346</v>
      </c>
      <c r="V17" s="20" t="s">
        <v>347</v>
      </c>
      <c r="W17" s="26" t="s">
        <v>354</v>
      </c>
    </row>
    <row r="18" spans="1:25">
      <c r="A18" s="24" t="s">
        <v>355</v>
      </c>
      <c r="B18" s="20">
        <v>1993</v>
      </c>
      <c r="C18" s="20" t="s">
        <v>356</v>
      </c>
      <c r="E18" s="21">
        <v>2</v>
      </c>
      <c r="F18" s="20" t="s">
        <v>357</v>
      </c>
      <c r="G18" s="20" t="s">
        <v>358</v>
      </c>
      <c r="H18" s="40">
        <v>131.68333333333334</v>
      </c>
      <c r="I18" s="40">
        <v>-24.316666666666666</v>
      </c>
      <c r="K18" s="20" t="s">
        <v>359</v>
      </c>
      <c r="L18" s="26">
        <v>-3500</v>
      </c>
      <c r="M18" s="23" t="s">
        <v>308</v>
      </c>
      <c r="N18" s="24">
        <v>90</v>
      </c>
      <c r="O18" s="20" t="s">
        <v>360</v>
      </c>
      <c r="Q18" s="27" t="s">
        <v>302</v>
      </c>
      <c r="R18" s="20" t="s">
        <v>361</v>
      </c>
      <c r="S18" s="20" t="s">
        <v>361</v>
      </c>
      <c r="W18" s="26" t="s">
        <v>334</v>
      </c>
      <c r="Y18" s="20" t="s">
        <v>362</v>
      </c>
    </row>
    <row r="19" spans="1:25">
      <c r="A19" s="24" t="s">
        <v>355</v>
      </c>
      <c r="B19" s="20">
        <v>1993</v>
      </c>
      <c r="C19" s="20" t="s">
        <v>356</v>
      </c>
      <c r="E19" s="21">
        <v>2</v>
      </c>
      <c r="F19" s="20" t="s">
        <v>357</v>
      </c>
      <c r="G19" s="20" t="s">
        <v>358</v>
      </c>
      <c r="H19" s="40">
        <v>131.68333333333334</v>
      </c>
      <c r="I19" s="40">
        <v>-24.316666666666666</v>
      </c>
      <c r="K19" s="20" t="s">
        <v>359</v>
      </c>
      <c r="L19" s="26">
        <v>-1700</v>
      </c>
      <c r="M19" s="23" t="s">
        <v>308</v>
      </c>
      <c r="N19" s="24">
        <v>90</v>
      </c>
      <c r="O19" s="20" t="s">
        <v>363</v>
      </c>
      <c r="Q19" s="27" t="s">
        <v>302</v>
      </c>
      <c r="R19" s="20" t="s">
        <v>361</v>
      </c>
      <c r="S19" s="20" t="s">
        <v>361</v>
      </c>
      <c r="W19" s="26" t="s">
        <v>336</v>
      </c>
    </row>
    <row r="20" spans="1:25">
      <c r="A20" s="24" t="s">
        <v>364</v>
      </c>
      <c r="B20" s="20">
        <v>1993</v>
      </c>
      <c r="C20" s="20" t="s">
        <v>338</v>
      </c>
      <c r="E20" s="21" t="s">
        <v>365</v>
      </c>
      <c r="F20" s="27" t="s">
        <v>366</v>
      </c>
      <c r="G20" s="20" t="s">
        <v>367</v>
      </c>
      <c r="H20" s="40">
        <v>124.98333333333333</v>
      </c>
      <c r="I20" s="40">
        <v>-25.05</v>
      </c>
      <c r="J20" s="20" t="s">
        <v>368</v>
      </c>
      <c r="K20" s="27" t="s">
        <v>343</v>
      </c>
      <c r="L20" s="26">
        <v>-710</v>
      </c>
      <c r="M20" s="23" t="s">
        <v>308</v>
      </c>
      <c r="N20" s="24">
        <v>80</v>
      </c>
      <c r="O20" s="27" t="s">
        <v>369</v>
      </c>
      <c r="Q20" s="27" t="s">
        <v>302</v>
      </c>
      <c r="R20" s="20" t="s">
        <v>361</v>
      </c>
      <c r="S20" s="20" t="s">
        <v>361</v>
      </c>
      <c r="T20" s="25">
        <v>-25</v>
      </c>
      <c r="W20" s="26" t="s">
        <v>334</v>
      </c>
    </row>
    <row r="21" spans="1:25">
      <c r="A21" s="20" t="s">
        <v>370</v>
      </c>
      <c r="B21" s="20">
        <v>1993</v>
      </c>
      <c r="C21" s="20" t="s">
        <v>338</v>
      </c>
      <c r="E21" s="21" t="s">
        <v>365</v>
      </c>
      <c r="F21" s="27" t="s">
        <v>366</v>
      </c>
      <c r="G21" s="20" t="s">
        <v>367</v>
      </c>
      <c r="H21" s="40">
        <v>124.98333333333333</v>
      </c>
      <c r="I21" s="40">
        <v>-25.05</v>
      </c>
      <c r="J21" s="20" t="s">
        <v>368</v>
      </c>
      <c r="K21" s="27" t="s">
        <v>343</v>
      </c>
      <c r="L21" s="26">
        <v>-800</v>
      </c>
      <c r="M21" s="23" t="s">
        <v>308</v>
      </c>
      <c r="N21" s="24">
        <v>80</v>
      </c>
      <c r="O21" s="20" t="s">
        <v>371</v>
      </c>
      <c r="Q21" s="27" t="s">
        <v>302</v>
      </c>
      <c r="R21" s="20" t="s">
        <v>361</v>
      </c>
      <c r="S21" s="20" t="s">
        <v>361</v>
      </c>
      <c r="T21" s="25">
        <v>-25</v>
      </c>
      <c r="W21" s="26" t="s">
        <v>354</v>
      </c>
    </row>
    <row r="22" spans="1:25">
      <c r="A22" s="27" t="s">
        <v>372</v>
      </c>
      <c r="B22" s="20">
        <v>1993</v>
      </c>
      <c r="C22" s="20" t="s">
        <v>338</v>
      </c>
      <c r="E22" s="21" t="s">
        <v>365</v>
      </c>
      <c r="F22" s="27" t="s">
        <v>366</v>
      </c>
      <c r="G22" s="20" t="s">
        <v>367</v>
      </c>
      <c r="H22" s="40">
        <v>124.98333333333333</v>
      </c>
      <c r="I22" s="40">
        <v>-25.05</v>
      </c>
      <c r="J22" s="20" t="s">
        <v>368</v>
      </c>
      <c r="K22" s="27" t="s">
        <v>343</v>
      </c>
      <c r="L22" s="26">
        <v>-1150</v>
      </c>
      <c r="M22" s="23" t="s">
        <v>308</v>
      </c>
      <c r="N22" s="24">
        <v>100</v>
      </c>
      <c r="O22" s="27" t="s">
        <v>373</v>
      </c>
      <c r="Q22" s="27" t="s">
        <v>302</v>
      </c>
      <c r="R22" s="20" t="s">
        <v>361</v>
      </c>
      <c r="S22" s="20" t="s">
        <v>361</v>
      </c>
      <c r="T22" s="25">
        <v>-25</v>
      </c>
      <c r="W22" s="26" t="s">
        <v>334</v>
      </c>
    </row>
    <row r="23" spans="1:25">
      <c r="A23" s="20" t="s">
        <v>374</v>
      </c>
      <c r="B23" s="20">
        <v>1993</v>
      </c>
      <c r="C23" s="20" t="s">
        <v>338</v>
      </c>
      <c r="E23" s="21" t="s">
        <v>365</v>
      </c>
      <c r="F23" s="27" t="s">
        <v>366</v>
      </c>
      <c r="G23" s="20" t="s">
        <v>367</v>
      </c>
      <c r="H23" s="40">
        <v>124.98333333333333</v>
      </c>
      <c r="I23" s="40">
        <v>-25.05</v>
      </c>
      <c r="J23" s="20" t="s">
        <v>368</v>
      </c>
      <c r="K23" s="27" t="s">
        <v>343</v>
      </c>
      <c r="L23" s="26">
        <v>-900</v>
      </c>
      <c r="M23" s="23" t="s">
        <v>308</v>
      </c>
      <c r="N23" s="24">
        <v>45</v>
      </c>
      <c r="O23" s="20" t="s">
        <v>375</v>
      </c>
      <c r="P23" s="20">
        <v>1</v>
      </c>
      <c r="Q23" s="27" t="s">
        <v>316</v>
      </c>
      <c r="R23" s="20" t="s">
        <v>345</v>
      </c>
      <c r="S23" s="20" t="s">
        <v>345</v>
      </c>
      <c r="T23" s="25">
        <v>-25</v>
      </c>
      <c r="W23" s="26" t="s">
        <v>354</v>
      </c>
    </row>
    <row r="24" spans="1:25">
      <c r="A24" s="20" t="s">
        <v>376</v>
      </c>
      <c r="B24" s="20">
        <v>1993</v>
      </c>
      <c r="C24" s="20" t="s">
        <v>338</v>
      </c>
      <c r="E24" s="21" t="s">
        <v>365</v>
      </c>
      <c r="F24" s="27" t="s">
        <v>366</v>
      </c>
      <c r="G24" s="20" t="s">
        <v>367</v>
      </c>
      <c r="H24" s="40">
        <v>124.98333333333333</v>
      </c>
      <c r="I24" s="40">
        <v>-25.05</v>
      </c>
      <c r="J24" s="20" t="s">
        <v>368</v>
      </c>
      <c r="K24" s="27" t="s">
        <v>343</v>
      </c>
      <c r="L24" s="26">
        <v>-900</v>
      </c>
      <c r="M24" s="23" t="s">
        <v>308</v>
      </c>
      <c r="N24" s="24">
        <v>90</v>
      </c>
      <c r="O24" s="27" t="s">
        <v>377</v>
      </c>
      <c r="Q24" s="27" t="s">
        <v>302</v>
      </c>
      <c r="R24" s="20" t="s">
        <v>345</v>
      </c>
      <c r="S24" s="20" t="s">
        <v>345</v>
      </c>
      <c r="T24" s="25">
        <v>-25</v>
      </c>
      <c r="W24" s="26" t="s">
        <v>378</v>
      </c>
    </row>
    <row r="25" spans="1:25">
      <c r="A25" s="20" t="s">
        <v>376</v>
      </c>
      <c r="B25" s="20">
        <v>1993</v>
      </c>
      <c r="C25" s="20" t="s">
        <v>338</v>
      </c>
      <c r="E25" s="21" t="s">
        <v>365</v>
      </c>
      <c r="F25" s="27" t="s">
        <v>366</v>
      </c>
      <c r="G25" s="20" t="s">
        <v>367</v>
      </c>
      <c r="H25" s="40">
        <v>124.98333333333333</v>
      </c>
      <c r="I25" s="40">
        <v>-25.05</v>
      </c>
      <c r="J25" s="20" t="s">
        <v>368</v>
      </c>
      <c r="K25" s="27" t="s">
        <v>343</v>
      </c>
      <c r="L25" s="26">
        <v>-300</v>
      </c>
      <c r="M25" s="23" t="s">
        <v>308</v>
      </c>
      <c r="N25" s="24">
        <v>90</v>
      </c>
      <c r="O25" s="27" t="s">
        <v>379</v>
      </c>
      <c r="Q25" s="27" t="s">
        <v>302</v>
      </c>
      <c r="R25" s="20" t="s">
        <v>361</v>
      </c>
      <c r="S25" s="20" t="s">
        <v>361</v>
      </c>
      <c r="T25" s="25">
        <v>-25</v>
      </c>
      <c r="W25" s="26" t="s">
        <v>336</v>
      </c>
    </row>
    <row r="26" spans="1:25">
      <c r="A26" s="20" t="s">
        <v>380</v>
      </c>
      <c r="B26" s="20">
        <v>1997</v>
      </c>
      <c r="C26" s="20" t="s">
        <v>349</v>
      </c>
      <c r="E26" s="21" t="s">
        <v>381</v>
      </c>
      <c r="F26" s="27" t="s">
        <v>382</v>
      </c>
      <c r="G26" s="20" t="s">
        <v>383</v>
      </c>
      <c r="H26" s="40">
        <v>134.19833333333332</v>
      </c>
      <c r="I26" s="40">
        <v>-25.83</v>
      </c>
      <c r="J26" s="20" t="s">
        <v>384</v>
      </c>
      <c r="K26" s="27" t="s">
        <v>343</v>
      </c>
      <c r="L26" s="26">
        <v>-610</v>
      </c>
      <c r="M26" s="23" t="s">
        <v>308</v>
      </c>
      <c r="N26" s="24">
        <v>40</v>
      </c>
      <c r="O26" s="20" t="s">
        <v>385</v>
      </c>
      <c r="P26" s="20">
        <v>1</v>
      </c>
      <c r="Q26" s="27" t="s">
        <v>316</v>
      </c>
      <c r="R26" s="20" t="s">
        <v>345</v>
      </c>
      <c r="S26" s="20" t="s">
        <v>345</v>
      </c>
      <c r="T26" s="25">
        <v>-25</v>
      </c>
      <c r="U26" s="27" t="s">
        <v>346</v>
      </c>
      <c r="V26" s="20" t="s">
        <v>347</v>
      </c>
      <c r="W26" s="26" t="s">
        <v>378</v>
      </c>
    </row>
    <row r="27" spans="1:25">
      <c r="A27" s="20" t="s">
        <v>386</v>
      </c>
      <c r="B27" s="20">
        <v>1997</v>
      </c>
      <c r="C27" s="20" t="s">
        <v>349</v>
      </c>
      <c r="E27" s="21" t="s">
        <v>381</v>
      </c>
      <c r="F27" s="27" t="s">
        <v>382</v>
      </c>
      <c r="G27" s="20" t="s">
        <v>383</v>
      </c>
      <c r="H27" s="40">
        <v>134.19833333333332</v>
      </c>
      <c r="I27" s="40">
        <v>-25.83</v>
      </c>
      <c r="J27" s="20" t="s">
        <v>384</v>
      </c>
      <c r="K27" s="27" t="s">
        <v>343</v>
      </c>
      <c r="L27" s="26">
        <v>-200</v>
      </c>
      <c r="M27" s="23" t="s">
        <v>308</v>
      </c>
      <c r="N27" s="24">
        <v>55</v>
      </c>
      <c r="O27" s="20" t="s">
        <v>387</v>
      </c>
      <c r="P27" s="20">
        <v>1</v>
      </c>
      <c r="Q27" s="27" t="s">
        <v>316</v>
      </c>
      <c r="R27" s="20" t="s">
        <v>345</v>
      </c>
      <c r="S27" s="20" t="s">
        <v>345</v>
      </c>
      <c r="T27" s="25">
        <v>-25</v>
      </c>
      <c r="U27" s="27" t="s">
        <v>346</v>
      </c>
      <c r="V27" s="20" t="s">
        <v>347</v>
      </c>
      <c r="W27" s="26" t="s">
        <v>336</v>
      </c>
    </row>
    <row r="28" spans="1:25">
      <c r="A28" s="20" t="s">
        <v>388</v>
      </c>
      <c r="B28" s="20">
        <v>1997</v>
      </c>
      <c r="C28" s="20" t="s">
        <v>349</v>
      </c>
      <c r="E28" s="21" t="s">
        <v>381</v>
      </c>
      <c r="F28" s="27" t="s">
        <v>382</v>
      </c>
      <c r="G28" s="20" t="s">
        <v>383</v>
      </c>
      <c r="H28" s="40">
        <v>134.19833333333332</v>
      </c>
      <c r="I28" s="40">
        <v>-25.83</v>
      </c>
      <c r="J28" s="20" t="s">
        <v>384</v>
      </c>
      <c r="K28" s="27" t="s">
        <v>343</v>
      </c>
      <c r="L28" s="26">
        <v>-2280</v>
      </c>
      <c r="M28" s="23" t="s">
        <v>308</v>
      </c>
      <c r="N28" s="24">
        <v>120</v>
      </c>
      <c r="O28" s="20" t="s">
        <v>389</v>
      </c>
      <c r="P28" s="20">
        <v>1</v>
      </c>
      <c r="Q28" s="27" t="s">
        <v>316</v>
      </c>
      <c r="R28" s="20" t="s">
        <v>345</v>
      </c>
      <c r="S28" s="20" t="s">
        <v>345</v>
      </c>
      <c r="T28" s="25">
        <v>-25</v>
      </c>
      <c r="U28" s="27" t="s">
        <v>346</v>
      </c>
      <c r="V28" s="20" t="s">
        <v>347</v>
      </c>
      <c r="W28" s="26" t="s">
        <v>334</v>
      </c>
    </row>
    <row r="29" spans="1:25">
      <c r="A29" s="20" t="s">
        <v>390</v>
      </c>
      <c r="B29" s="20">
        <v>1997</v>
      </c>
      <c r="C29" s="20" t="s">
        <v>349</v>
      </c>
      <c r="E29" s="21" t="s">
        <v>381</v>
      </c>
      <c r="F29" s="27" t="s">
        <v>382</v>
      </c>
      <c r="G29" s="20" t="s">
        <v>383</v>
      </c>
      <c r="H29" s="40">
        <v>134.19833333333332</v>
      </c>
      <c r="I29" s="40">
        <v>-25.83</v>
      </c>
      <c r="J29" s="20" t="s">
        <v>384</v>
      </c>
      <c r="K29" s="27" t="s">
        <v>343</v>
      </c>
      <c r="L29" s="26">
        <v>-2330</v>
      </c>
      <c r="M29" s="23" t="s">
        <v>308</v>
      </c>
      <c r="N29" s="24">
        <v>120</v>
      </c>
      <c r="O29" s="20" t="s">
        <v>391</v>
      </c>
      <c r="P29" s="20">
        <v>1</v>
      </c>
      <c r="Q29" s="27" t="s">
        <v>316</v>
      </c>
      <c r="R29" s="20" t="s">
        <v>392</v>
      </c>
      <c r="S29" s="20" t="s">
        <v>393</v>
      </c>
      <c r="T29" s="25">
        <v>-27</v>
      </c>
      <c r="U29" s="20" t="s">
        <v>394</v>
      </c>
      <c r="V29" s="20" t="s">
        <v>347</v>
      </c>
      <c r="W29" s="26" t="s">
        <v>334</v>
      </c>
    </row>
    <row r="30" spans="1:25">
      <c r="A30" s="20" t="s">
        <v>395</v>
      </c>
      <c r="B30" s="20">
        <v>1997</v>
      </c>
      <c r="C30" s="20" t="s">
        <v>349</v>
      </c>
      <c r="E30" s="21" t="s">
        <v>381</v>
      </c>
      <c r="F30" s="27" t="s">
        <v>382</v>
      </c>
      <c r="G30" s="20" t="s">
        <v>383</v>
      </c>
      <c r="H30" s="40">
        <v>134.19833333333332</v>
      </c>
      <c r="I30" s="40">
        <v>-25.83</v>
      </c>
      <c r="J30" s="20" t="s">
        <v>384</v>
      </c>
      <c r="K30" s="27" t="s">
        <v>343</v>
      </c>
      <c r="L30" s="26">
        <v>-3350</v>
      </c>
      <c r="M30" s="23" t="s">
        <v>308</v>
      </c>
      <c r="N30" s="24">
        <v>80</v>
      </c>
      <c r="O30" s="20" t="s">
        <v>396</v>
      </c>
      <c r="P30" s="20">
        <v>1</v>
      </c>
      <c r="Q30" s="27" t="s">
        <v>316</v>
      </c>
      <c r="R30" s="20" t="s">
        <v>345</v>
      </c>
      <c r="S30" s="20" t="s">
        <v>345</v>
      </c>
      <c r="T30" s="25">
        <v>-25</v>
      </c>
      <c r="U30" s="27" t="s">
        <v>346</v>
      </c>
      <c r="V30" s="20" t="s">
        <v>347</v>
      </c>
      <c r="W30" s="26" t="s">
        <v>354</v>
      </c>
    </row>
    <row r="31" spans="1:25">
      <c r="A31" s="20" t="s">
        <v>395</v>
      </c>
      <c r="B31" s="20">
        <v>1997</v>
      </c>
      <c r="C31" s="20" t="s">
        <v>349</v>
      </c>
      <c r="E31" s="21" t="s">
        <v>381</v>
      </c>
      <c r="F31" s="27" t="s">
        <v>382</v>
      </c>
      <c r="G31" s="20" t="s">
        <v>383</v>
      </c>
      <c r="H31" s="40">
        <v>134.19833333333332</v>
      </c>
      <c r="I31" s="40">
        <v>-25.83</v>
      </c>
      <c r="J31" s="20" t="s">
        <v>384</v>
      </c>
      <c r="K31" s="27" t="s">
        <v>343</v>
      </c>
      <c r="L31" s="26">
        <v>-3310</v>
      </c>
      <c r="M31" s="23" t="s">
        <v>308</v>
      </c>
      <c r="N31" s="24">
        <v>80</v>
      </c>
      <c r="O31" s="20" t="s">
        <v>397</v>
      </c>
      <c r="P31" s="20">
        <v>1</v>
      </c>
      <c r="Q31" s="27" t="s">
        <v>316</v>
      </c>
      <c r="R31" s="20" t="s">
        <v>345</v>
      </c>
      <c r="S31" s="20" t="s">
        <v>345</v>
      </c>
      <c r="T31" s="25">
        <v>-25</v>
      </c>
      <c r="U31" s="27" t="s">
        <v>346</v>
      </c>
      <c r="V31" s="20" t="s">
        <v>347</v>
      </c>
      <c r="W31" s="26" t="s">
        <v>354</v>
      </c>
    </row>
    <row r="32" spans="1:25">
      <c r="A32" s="20" t="s">
        <v>398</v>
      </c>
      <c r="B32" s="20">
        <v>1997</v>
      </c>
      <c r="C32" s="20" t="s">
        <v>349</v>
      </c>
      <c r="E32" s="21" t="s">
        <v>381</v>
      </c>
      <c r="F32" s="27" t="s">
        <v>382</v>
      </c>
      <c r="G32" s="20" t="s">
        <v>383</v>
      </c>
      <c r="H32" s="40">
        <v>134.19833333333332</v>
      </c>
      <c r="I32" s="40">
        <v>-25.83</v>
      </c>
      <c r="J32" s="20" t="s">
        <v>384</v>
      </c>
      <c r="K32" s="27" t="s">
        <v>343</v>
      </c>
      <c r="L32" s="26">
        <v>-3450</v>
      </c>
      <c r="M32" s="23" t="s">
        <v>308</v>
      </c>
      <c r="N32" s="24">
        <v>70</v>
      </c>
      <c r="O32" s="20" t="s">
        <v>399</v>
      </c>
      <c r="P32" s="20">
        <v>1</v>
      </c>
      <c r="Q32" s="27" t="s">
        <v>316</v>
      </c>
      <c r="R32" s="20" t="s">
        <v>400</v>
      </c>
      <c r="S32" s="20" t="s">
        <v>400</v>
      </c>
      <c r="T32" s="25">
        <v>-23.8</v>
      </c>
      <c r="W32" s="26" t="s">
        <v>354</v>
      </c>
    </row>
    <row r="33" spans="1:23">
      <c r="A33" s="20" t="s">
        <v>401</v>
      </c>
      <c r="B33" s="20">
        <v>1997</v>
      </c>
      <c r="C33" s="20" t="s">
        <v>349</v>
      </c>
      <c r="E33" s="21" t="s">
        <v>381</v>
      </c>
      <c r="F33" s="27" t="s">
        <v>382</v>
      </c>
      <c r="G33" s="20" t="s">
        <v>383</v>
      </c>
      <c r="H33" s="40">
        <v>134.19833333333332</v>
      </c>
      <c r="I33" s="40">
        <v>-25.83</v>
      </c>
      <c r="J33" s="20" t="s">
        <v>384</v>
      </c>
      <c r="K33" s="27" t="s">
        <v>343</v>
      </c>
      <c r="L33" s="26">
        <v>-3330</v>
      </c>
      <c r="M33" s="23" t="s">
        <v>308</v>
      </c>
      <c r="N33" s="24">
        <v>190</v>
      </c>
      <c r="O33" s="20" t="s">
        <v>402</v>
      </c>
      <c r="P33" s="20">
        <v>1</v>
      </c>
      <c r="Q33" s="27" t="s">
        <v>316</v>
      </c>
      <c r="R33" s="20" t="s">
        <v>392</v>
      </c>
      <c r="S33" s="20" t="s">
        <v>393</v>
      </c>
      <c r="T33" s="25">
        <v>-24.4</v>
      </c>
      <c r="U33" s="20" t="s">
        <v>394</v>
      </c>
      <c r="V33" s="20" t="s">
        <v>347</v>
      </c>
      <c r="W33" s="26" t="s">
        <v>354</v>
      </c>
    </row>
    <row r="34" spans="1:23">
      <c r="A34" s="20" t="s">
        <v>403</v>
      </c>
      <c r="B34" s="20">
        <v>1997</v>
      </c>
      <c r="C34" s="20" t="s">
        <v>349</v>
      </c>
      <c r="E34" s="21" t="s">
        <v>381</v>
      </c>
      <c r="F34" s="27" t="s">
        <v>382</v>
      </c>
      <c r="G34" s="20" t="s">
        <v>383</v>
      </c>
      <c r="H34" s="40">
        <v>134.19833333333332</v>
      </c>
      <c r="I34" s="40">
        <v>-25.83</v>
      </c>
      <c r="J34" s="20" t="s">
        <v>384</v>
      </c>
      <c r="K34" s="27" t="s">
        <v>343</v>
      </c>
      <c r="L34" s="26" t="s">
        <v>404</v>
      </c>
      <c r="M34" s="23" t="s">
        <v>308</v>
      </c>
      <c r="N34" s="24"/>
      <c r="O34" s="20" t="s">
        <v>405</v>
      </c>
      <c r="Q34" s="27" t="s">
        <v>316</v>
      </c>
      <c r="R34" s="20" t="s">
        <v>345</v>
      </c>
      <c r="S34" s="20" t="s">
        <v>345</v>
      </c>
      <c r="T34" s="25">
        <v>-25</v>
      </c>
    </row>
    <row r="35" spans="1:23">
      <c r="A35" s="20" t="s">
        <v>406</v>
      </c>
      <c r="B35" s="20">
        <v>1997</v>
      </c>
      <c r="C35" s="20" t="s">
        <v>349</v>
      </c>
      <c r="E35" s="21" t="s">
        <v>381</v>
      </c>
      <c r="F35" s="27" t="s">
        <v>382</v>
      </c>
      <c r="G35" s="20" t="s">
        <v>383</v>
      </c>
      <c r="H35" s="40">
        <v>134.19833333333332</v>
      </c>
      <c r="I35" s="40">
        <v>-25.83</v>
      </c>
      <c r="J35" s="20" t="s">
        <v>384</v>
      </c>
      <c r="K35" s="27" t="s">
        <v>343</v>
      </c>
      <c r="L35" s="26" t="s">
        <v>407</v>
      </c>
      <c r="M35" s="23" t="s">
        <v>308</v>
      </c>
      <c r="N35" s="24">
        <v>0</v>
      </c>
      <c r="O35" s="20" t="s">
        <v>408</v>
      </c>
      <c r="P35" s="20">
        <v>1</v>
      </c>
      <c r="Q35" s="27" t="s">
        <v>316</v>
      </c>
      <c r="R35" s="20" t="s">
        <v>409</v>
      </c>
      <c r="S35" s="20" t="s">
        <v>409</v>
      </c>
      <c r="T35" s="25">
        <v>-21.8</v>
      </c>
      <c r="U35" s="20" t="s">
        <v>410</v>
      </c>
      <c r="V35" s="20" t="s">
        <v>411</v>
      </c>
      <c r="W35" s="26" t="s">
        <v>336</v>
      </c>
    </row>
    <row r="36" spans="1:23">
      <c r="A36" s="20" t="s">
        <v>412</v>
      </c>
      <c r="B36" s="20">
        <v>1997</v>
      </c>
      <c r="C36" s="20" t="s">
        <v>349</v>
      </c>
      <c r="E36" s="21" t="s">
        <v>381</v>
      </c>
      <c r="F36" s="27" t="s">
        <v>382</v>
      </c>
      <c r="G36" s="20" t="s">
        <v>383</v>
      </c>
      <c r="H36" s="40">
        <v>134.19833333333332</v>
      </c>
      <c r="I36" s="40">
        <v>-25.83</v>
      </c>
      <c r="J36" s="20" t="s">
        <v>384</v>
      </c>
      <c r="K36" s="27" t="s">
        <v>343</v>
      </c>
      <c r="L36" s="26">
        <v>-410</v>
      </c>
      <c r="M36" s="23" t="s">
        <v>308</v>
      </c>
      <c r="N36" s="24">
        <v>165</v>
      </c>
      <c r="O36" s="20" t="s">
        <v>413</v>
      </c>
      <c r="P36" s="20">
        <v>1</v>
      </c>
      <c r="Q36" s="27" t="s">
        <v>316</v>
      </c>
      <c r="R36" s="20" t="s">
        <v>392</v>
      </c>
      <c r="S36" s="20" t="s">
        <v>393</v>
      </c>
      <c r="T36" s="25">
        <v>-27</v>
      </c>
      <c r="U36" s="20" t="s">
        <v>394</v>
      </c>
      <c r="V36" s="20" t="s">
        <v>347</v>
      </c>
      <c r="W36" s="26" t="s">
        <v>336</v>
      </c>
    </row>
    <row r="37" spans="1:23">
      <c r="A37" s="20" t="s">
        <v>414</v>
      </c>
      <c r="B37" s="20">
        <v>1997</v>
      </c>
      <c r="C37" s="20" t="s">
        <v>349</v>
      </c>
      <c r="E37" s="21" t="s">
        <v>381</v>
      </c>
      <c r="F37" s="27" t="s">
        <v>382</v>
      </c>
      <c r="G37" s="20" t="s">
        <v>383</v>
      </c>
      <c r="H37" s="40">
        <v>134.19833333333332</v>
      </c>
      <c r="I37" s="40">
        <v>-25.83</v>
      </c>
      <c r="J37" s="20" t="s">
        <v>384</v>
      </c>
      <c r="K37" s="27" t="s">
        <v>343</v>
      </c>
      <c r="L37" s="26">
        <v>-250</v>
      </c>
      <c r="M37" s="23" t="s">
        <v>308</v>
      </c>
      <c r="N37" s="24">
        <v>60</v>
      </c>
      <c r="O37" s="20" t="s">
        <v>415</v>
      </c>
      <c r="Q37" s="27" t="s">
        <v>302</v>
      </c>
      <c r="R37" s="20" t="s">
        <v>361</v>
      </c>
      <c r="S37" s="20" t="s">
        <v>361</v>
      </c>
      <c r="T37" s="25">
        <v>-25</v>
      </c>
      <c r="W37" s="26" t="s">
        <v>336</v>
      </c>
    </row>
    <row r="38" spans="1:23">
      <c r="A38" s="20" t="s">
        <v>416</v>
      </c>
      <c r="B38" s="20">
        <v>1997</v>
      </c>
      <c r="C38" s="20" t="s">
        <v>349</v>
      </c>
      <c r="E38" s="21" t="s">
        <v>381</v>
      </c>
      <c r="F38" s="27" t="s">
        <v>382</v>
      </c>
      <c r="G38" s="20" t="s">
        <v>383</v>
      </c>
      <c r="H38" s="40">
        <v>134.19833333333332</v>
      </c>
      <c r="I38" s="40">
        <v>-25.83</v>
      </c>
      <c r="J38" s="20" t="s">
        <v>384</v>
      </c>
      <c r="K38" s="27" t="s">
        <v>343</v>
      </c>
      <c r="L38" s="26" t="s">
        <v>417</v>
      </c>
      <c r="M38" s="23" t="s">
        <v>308</v>
      </c>
      <c r="N38" s="24">
        <v>0</v>
      </c>
      <c r="O38" s="20" t="s">
        <v>418</v>
      </c>
      <c r="Q38" s="27" t="s">
        <v>302</v>
      </c>
      <c r="R38" s="20" t="s">
        <v>361</v>
      </c>
      <c r="S38" s="20" t="s">
        <v>361</v>
      </c>
      <c r="T38" s="25">
        <v>-25</v>
      </c>
      <c r="W38" s="26" t="s">
        <v>336</v>
      </c>
    </row>
    <row r="39" spans="1:23">
      <c r="A39" s="20" t="s">
        <v>419</v>
      </c>
      <c r="B39" s="20">
        <v>1997</v>
      </c>
      <c r="C39" s="20" t="s">
        <v>349</v>
      </c>
      <c r="E39" s="21" t="s">
        <v>381</v>
      </c>
      <c r="F39" s="27" t="s">
        <v>382</v>
      </c>
      <c r="G39" s="20" t="s">
        <v>383</v>
      </c>
      <c r="H39" s="40">
        <v>134.19833333333332</v>
      </c>
      <c r="I39" s="40">
        <v>-25.83</v>
      </c>
      <c r="J39" s="20" t="s">
        <v>384</v>
      </c>
      <c r="K39" s="27" t="s">
        <v>343</v>
      </c>
      <c r="L39" s="26">
        <v>-1470</v>
      </c>
      <c r="M39" s="23" t="s">
        <v>308</v>
      </c>
      <c r="N39" s="24">
        <v>70</v>
      </c>
      <c r="O39" s="20" t="s">
        <v>420</v>
      </c>
      <c r="Q39" s="27" t="s">
        <v>302</v>
      </c>
      <c r="R39" s="20" t="s">
        <v>361</v>
      </c>
      <c r="S39" s="20" t="s">
        <v>361</v>
      </c>
      <c r="T39" s="25">
        <v>-25</v>
      </c>
      <c r="W39" s="26" t="s">
        <v>354</v>
      </c>
    </row>
    <row r="40" spans="1:23">
      <c r="A40" s="20" t="s">
        <v>421</v>
      </c>
      <c r="B40" s="20">
        <v>1997</v>
      </c>
      <c r="C40" s="20" t="s">
        <v>349</v>
      </c>
      <c r="E40" s="21" t="s">
        <v>381</v>
      </c>
      <c r="F40" s="27" t="s">
        <v>382</v>
      </c>
      <c r="G40" s="20" t="s">
        <v>383</v>
      </c>
      <c r="H40" s="40">
        <v>134.19833333333332</v>
      </c>
      <c r="I40" s="40">
        <v>-25.83</v>
      </c>
      <c r="J40" s="20" t="s">
        <v>384</v>
      </c>
      <c r="K40" s="27" t="s">
        <v>343</v>
      </c>
      <c r="L40" s="26">
        <v>-310</v>
      </c>
      <c r="M40" s="23" t="s">
        <v>308</v>
      </c>
      <c r="N40" s="24">
        <v>40</v>
      </c>
      <c r="O40" s="20" t="s">
        <v>422</v>
      </c>
      <c r="P40" s="20">
        <v>1</v>
      </c>
      <c r="Q40" s="27" t="s">
        <v>316</v>
      </c>
      <c r="R40" s="20" t="s">
        <v>345</v>
      </c>
      <c r="S40" s="20" t="s">
        <v>345</v>
      </c>
      <c r="T40" s="25">
        <v>-25</v>
      </c>
      <c r="U40" s="27" t="s">
        <v>346</v>
      </c>
      <c r="V40" s="20" t="s">
        <v>347</v>
      </c>
      <c r="W40" s="26" t="s">
        <v>354</v>
      </c>
    </row>
    <row r="41" spans="1:23">
      <c r="A41" s="20" t="s">
        <v>423</v>
      </c>
      <c r="B41" s="20">
        <v>1997</v>
      </c>
      <c r="C41" s="20" t="s">
        <v>349</v>
      </c>
      <c r="E41" s="21" t="s">
        <v>381</v>
      </c>
      <c r="F41" s="27" t="s">
        <v>382</v>
      </c>
      <c r="G41" s="20" t="s">
        <v>383</v>
      </c>
      <c r="H41" s="40">
        <v>134.19833333333332</v>
      </c>
      <c r="I41" s="40">
        <v>-25.83</v>
      </c>
      <c r="J41" s="20" t="s">
        <v>384</v>
      </c>
      <c r="K41" s="27" t="s">
        <v>343</v>
      </c>
      <c r="L41" s="26">
        <v>-300</v>
      </c>
      <c r="M41" s="23" t="s">
        <v>308</v>
      </c>
      <c r="N41" s="24">
        <v>50</v>
      </c>
      <c r="O41" s="20" t="s">
        <v>424</v>
      </c>
      <c r="P41" s="20">
        <v>1</v>
      </c>
      <c r="Q41" s="27" t="s">
        <v>316</v>
      </c>
      <c r="R41" s="20" t="s">
        <v>345</v>
      </c>
      <c r="S41" s="20" t="s">
        <v>345</v>
      </c>
      <c r="T41" s="25">
        <v>-25</v>
      </c>
      <c r="U41" s="27" t="s">
        <v>346</v>
      </c>
      <c r="V41" s="20" t="s">
        <v>347</v>
      </c>
      <c r="W41" s="26" t="s">
        <v>354</v>
      </c>
    </row>
    <row r="42" spans="1:23">
      <c r="A42" s="20" t="s">
        <v>425</v>
      </c>
      <c r="B42" s="20">
        <v>1997</v>
      </c>
      <c r="C42" s="20" t="s">
        <v>349</v>
      </c>
      <c r="E42" s="21" t="s">
        <v>381</v>
      </c>
      <c r="F42" s="27" t="s">
        <v>382</v>
      </c>
      <c r="G42" s="20" t="s">
        <v>383</v>
      </c>
      <c r="H42" s="40">
        <v>134.19833333333332</v>
      </c>
      <c r="I42" s="40">
        <v>-25.83</v>
      </c>
      <c r="J42" s="20" t="s">
        <v>384</v>
      </c>
      <c r="K42" s="27" t="s">
        <v>343</v>
      </c>
      <c r="L42" s="26">
        <v>-1720</v>
      </c>
      <c r="M42" s="23" t="s">
        <v>308</v>
      </c>
      <c r="N42" s="24">
        <v>60</v>
      </c>
      <c r="O42" s="20" t="s">
        <v>426</v>
      </c>
      <c r="P42" s="20">
        <v>1</v>
      </c>
      <c r="Q42" s="27" t="s">
        <v>316</v>
      </c>
      <c r="R42" s="20" t="s">
        <v>345</v>
      </c>
      <c r="S42" s="20" t="s">
        <v>345</v>
      </c>
      <c r="T42" s="25">
        <v>-25</v>
      </c>
      <c r="U42" s="27" t="s">
        <v>346</v>
      </c>
      <c r="V42" s="20" t="s">
        <v>347</v>
      </c>
      <c r="W42" s="26" t="s">
        <v>354</v>
      </c>
    </row>
    <row r="43" spans="1:23">
      <c r="A43" s="20" t="s">
        <v>427</v>
      </c>
      <c r="B43" s="20">
        <v>1997</v>
      </c>
      <c r="C43" s="20" t="s">
        <v>349</v>
      </c>
      <c r="E43" s="21" t="s">
        <v>381</v>
      </c>
      <c r="F43" s="27" t="s">
        <v>382</v>
      </c>
      <c r="G43" s="20" t="s">
        <v>383</v>
      </c>
      <c r="H43" s="40">
        <v>134.19833333333332</v>
      </c>
      <c r="I43" s="40">
        <v>-25.83</v>
      </c>
      <c r="J43" s="20" t="s">
        <v>384</v>
      </c>
      <c r="K43" s="27" t="s">
        <v>343</v>
      </c>
      <c r="L43" s="26">
        <v>-1140</v>
      </c>
      <c r="M43" s="23" t="s">
        <v>308</v>
      </c>
      <c r="N43" s="24">
        <v>40</v>
      </c>
      <c r="O43" s="20" t="s">
        <v>428</v>
      </c>
      <c r="P43" s="20">
        <v>1</v>
      </c>
      <c r="Q43" s="27" t="s">
        <v>316</v>
      </c>
      <c r="R43" s="20" t="s">
        <v>345</v>
      </c>
      <c r="S43" s="20" t="s">
        <v>345</v>
      </c>
      <c r="T43" s="25">
        <v>-25</v>
      </c>
      <c r="U43" s="27" t="s">
        <v>346</v>
      </c>
      <c r="V43" s="20" t="s">
        <v>347</v>
      </c>
      <c r="W43" s="26" t="s">
        <v>336</v>
      </c>
    </row>
    <row r="44" spans="1:23">
      <c r="A44" s="20" t="s">
        <v>429</v>
      </c>
      <c r="B44" s="20">
        <v>1997</v>
      </c>
      <c r="C44" s="20" t="s">
        <v>349</v>
      </c>
      <c r="E44" s="21" t="s">
        <v>381</v>
      </c>
      <c r="F44" s="27" t="s">
        <v>382</v>
      </c>
      <c r="G44" s="20" t="s">
        <v>383</v>
      </c>
      <c r="H44" s="40">
        <v>134.19833333333332</v>
      </c>
      <c r="I44" s="40">
        <v>-25.83</v>
      </c>
      <c r="J44" s="20" t="s">
        <v>384</v>
      </c>
      <c r="K44" s="27" t="s">
        <v>343</v>
      </c>
      <c r="L44" s="26">
        <v>-510</v>
      </c>
      <c r="M44" s="23" t="s">
        <v>308</v>
      </c>
      <c r="N44" s="24">
        <v>50</v>
      </c>
      <c r="O44" s="20" t="s">
        <v>430</v>
      </c>
      <c r="P44" s="20">
        <v>1</v>
      </c>
      <c r="Q44" s="27" t="s">
        <v>316</v>
      </c>
      <c r="R44" s="20" t="s">
        <v>345</v>
      </c>
      <c r="S44" s="20" t="s">
        <v>345</v>
      </c>
      <c r="T44" s="25">
        <v>-25</v>
      </c>
      <c r="U44" s="27" t="s">
        <v>346</v>
      </c>
      <c r="V44" s="20" t="s">
        <v>347</v>
      </c>
      <c r="W44" s="26" t="s">
        <v>336</v>
      </c>
    </row>
    <row r="45" spans="1:23">
      <c r="A45" s="20" t="s">
        <v>431</v>
      </c>
      <c r="B45" s="20">
        <v>1997</v>
      </c>
      <c r="C45" s="20" t="s">
        <v>349</v>
      </c>
      <c r="E45" s="21" t="s">
        <v>381</v>
      </c>
      <c r="F45" s="27" t="s">
        <v>382</v>
      </c>
      <c r="G45" s="20" t="s">
        <v>383</v>
      </c>
      <c r="H45" s="40">
        <v>134.19833333333332</v>
      </c>
      <c r="I45" s="40">
        <v>-25.83</v>
      </c>
      <c r="J45" s="20" t="s">
        <v>384</v>
      </c>
      <c r="K45" s="27" t="s">
        <v>343</v>
      </c>
      <c r="L45" s="26">
        <v>-360</v>
      </c>
      <c r="M45" s="23" t="s">
        <v>308</v>
      </c>
      <c r="N45" s="24">
        <v>75</v>
      </c>
      <c r="O45" s="20" t="s">
        <v>432</v>
      </c>
      <c r="P45" s="20">
        <v>1</v>
      </c>
      <c r="Q45" s="27" t="s">
        <v>316</v>
      </c>
      <c r="R45" s="20" t="s">
        <v>345</v>
      </c>
      <c r="S45" s="20" t="s">
        <v>345</v>
      </c>
      <c r="T45" s="25">
        <v>-25</v>
      </c>
      <c r="U45" s="27" t="s">
        <v>346</v>
      </c>
      <c r="V45" s="20" t="s">
        <v>347</v>
      </c>
      <c r="W45" s="26" t="s">
        <v>354</v>
      </c>
    </row>
    <row r="46" spans="1:23">
      <c r="A46" s="20" t="s">
        <v>433</v>
      </c>
      <c r="B46" s="20">
        <v>1997</v>
      </c>
      <c r="C46" s="20" t="s">
        <v>349</v>
      </c>
      <c r="E46" s="21" t="s">
        <v>381</v>
      </c>
      <c r="F46" s="27" t="s">
        <v>382</v>
      </c>
      <c r="G46" s="20" t="s">
        <v>383</v>
      </c>
      <c r="H46" s="40">
        <v>134.19833333333332</v>
      </c>
      <c r="I46" s="40">
        <v>-25.83</v>
      </c>
      <c r="J46" s="20" t="s">
        <v>384</v>
      </c>
      <c r="K46" s="27" t="s">
        <v>343</v>
      </c>
      <c r="L46" s="26">
        <v>-1310</v>
      </c>
      <c r="M46" s="23" t="s">
        <v>308</v>
      </c>
      <c r="N46" s="24">
        <v>60</v>
      </c>
      <c r="O46" s="20" t="s">
        <v>434</v>
      </c>
      <c r="P46" s="20">
        <v>1</v>
      </c>
      <c r="Q46" s="27" t="s">
        <v>316</v>
      </c>
      <c r="R46" s="20" t="s">
        <v>435</v>
      </c>
      <c r="S46" s="20" t="s">
        <v>435</v>
      </c>
      <c r="T46" s="25">
        <v>-25</v>
      </c>
      <c r="U46" s="27" t="s">
        <v>436</v>
      </c>
      <c r="V46" s="20" t="s">
        <v>347</v>
      </c>
      <c r="W46" s="26" t="s">
        <v>336</v>
      </c>
    </row>
    <row r="47" spans="1:23">
      <c r="A47" s="20" t="s">
        <v>437</v>
      </c>
      <c r="B47" s="20">
        <v>1997</v>
      </c>
      <c r="C47" s="20" t="s">
        <v>349</v>
      </c>
      <c r="E47" s="21" t="s">
        <v>381</v>
      </c>
      <c r="F47" s="27" t="s">
        <v>382</v>
      </c>
      <c r="G47" s="20" t="s">
        <v>383</v>
      </c>
      <c r="H47" s="40">
        <v>134.19833333333332</v>
      </c>
      <c r="I47" s="40">
        <v>-25.83</v>
      </c>
      <c r="J47" s="20" t="s">
        <v>384</v>
      </c>
      <c r="K47" s="27" t="s">
        <v>343</v>
      </c>
      <c r="L47" s="26">
        <v>-2380</v>
      </c>
      <c r="M47" s="23" t="s">
        <v>308</v>
      </c>
      <c r="N47" s="24">
        <v>40</v>
      </c>
      <c r="O47" s="20" t="s">
        <v>438</v>
      </c>
      <c r="P47" s="20">
        <v>1</v>
      </c>
      <c r="Q47" s="27" t="s">
        <v>316</v>
      </c>
      <c r="R47" s="20" t="s">
        <v>392</v>
      </c>
      <c r="S47" s="20" t="s">
        <v>393</v>
      </c>
      <c r="T47" s="25">
        <v>-25</v>
      </c>
      <c r="U47" s="27" t="s">
        <v>394</v>
      </c>
      <c r="V47" s="20" t="s">
        <v>347</v>
      </c>
      <c r="W47" s="26" t="s">
        <v>334</v>
      </c>
    </row>
    <row r="48" spans="1:23">
      <c r="A48" s="20" t="s">
        <v>439</v>
      </c>
      <c r="B48" s="20">
        <v>1997</v>
      </c>
      <c r="C48" s="20" t="s">
        <v>349</v>
      </c>
      <c r="E48" s="21" t="s">
        <v>381</v>
      </c>
      <c r="F48" s="27" t="s">
        <v>382</v>
      </c>
      <c r="G48" s="20" t="s">
        <v>383</v>
      </c>
      <c r="H48" s="40">
        <v>134.19833333333332</v>
      </c>
      <c r="I48" s="40">
        <v>-25.83</v>
      </c>
      <c r="J48" s="20" t="s">
        <v>384</v>
      </c>
      <c r="K48" s="27" t="s">
        <v>343</v>
      </c>
      <c r="L48" s="26">
        <v>-1150</v>
      </c>
      <c r="M48" s="23" t="s">
        <v>308</v>
      </c>
      <c r="N48" s="24">
        <v>50</v>
      </c>
      <c r="O48" s="20" t="s">
        <v>440</v>
      </c>
      <c r="P48" s="20">
        <v>1</v>
      </c>
      <c r="Q48" s="27" t="s">
        <v>316</v>
      </c>
      <c r="R48" s="20" t="s">
        <v>345</v>
      </c>
      <c r="S48" s="20" t="s">
        <v>345</v>
      </c>
      <c r="T48" s="25">
        <v>-25</v>
      </c>
      <c r="U48" s="27" t="s">
        <v>346</v>
      </c>
      <c r="V48" s="20" t="s">
        <v>347</v>
      </c>
      <c r="W48" s="26" t="s">
        <v>378</v>
      </c>
    </row>
    <row r="49" spans="1:23">
      <c r="A49" s="20" t="s">
        <v>441</v>
      </c>
      <c r="B49" s="20">
        <v>1997</v>
      </c>
      <c r="C49" s="20" t="s">
        <v>349</v>
      </c>
      <c r="E49" s="21" t="s">
        <v>381</v>
      </c>
      <c r="F49" s="27" t="s">
        <v>382</v>
      </c>
      <c r="G49" s="20" t="s">
        <v>383</v>
      </c>
      <c r="H49" s="40">
        <v>134.19833333333332</v>
      </c>
      <c r="I49" s="40">
        <v>-25.83</v>
      </c>
      <c r="J49" s="20" t="s">
        <v>384</v>
      </c>
      <c r="K49" s="27" t="s">
        <v>343</v>
      </c>
      <c r="L49" s="26">
        <v>-360</v>
      </c>
      <c r="M49" s="23" t="s">
        <v>308</v>
      </c>
      <c r="N49" s="24">
        <v>50</v>
      </c>
      <c r="O49" s="20" t="s">
        <v>442</v>
      </c>
      <c r="P49" s="20">
        <v>1</v>
      </c>
      <c r="Q49" s="27" t="s">
        <v>316</v>
      </c>
      <c r="R49" s="20" t="s">
        <v>361</v>
      </c>
      <c r="S49" s="20" t="s">
        <v>361</v>
      </c>
      <c r="T49" s="25">
        <v>-25</v>
      </c>
      <c r="U49" s="27" t="s">
        <v>436</v>
      </c>
      <c r="V49" s="20" t="s">
        <v>347</v>
      </c>
      <c r="W49" s="26" t="s">
        <v>336</v>
      </c>
    </row>
    <row r="50" spans="1:23">
      <c r="A50" s="20" t="s">
        <v>443</v>
      </c>
      <c r="B50" s="20">
        <v>1997</v>
      </c>
      <c r="C50" s="20" t="s">
        <v>349</v>
      </c>
      <c r="E50" s="21" t="s">
        <v>381</v>
      </c>
      <c r="F50" s="27" t="s">
        <v>382</v>
      </c>
      <c r="G50" s="20" t="s">
        <v>383</v>
      </c>
      <c r="H50" s="40">
        <v>134.19833333333332</v>
      </c>
      <c r="I50" s="40">
        <v>-25.83</v>
      </c>
      <c r="J50" s="20" t="s">
        <v>384</v>
      </c>
      <c r="K50" s="27" t="s">
        <v>343</v>
      </c>
      <c r="L50" s="26">
        <v>-80</v>
      </c>
      <c r="M50" s="23" t="s">
        <v>308</v>
      </c>
      <c r="N50" s="24">
        <v>50</v>
      </c>
      <c r="O50" s="20" t="s">
        <v>444</v>
      </c>
      <c r="Q50" s="27" t="s">
        <v>302</v>
      </c>
      <c r="R50" s="20" t="s">
        <v>445</v>
      </c>
      <c r="S50" s="20" t="s">
        <v>445</v>
      </c>
      <c r="T50" s="25">
        <v>-25</v>
      </c>
      <c r="W50" s="26" t="s">
        <v>336</v>
      </c>
    </row>
    <row r="51" spans="1:23">
      <c r="A51" s="20" t="s">
        <v>446</v>
      </c>
      <c r="B51" s="20">
        <v>1997</v>
      </c>
      <c r="C51" s="20" t="s">
        <v>349</v>
      </c>
      <c r="E51" s="21" t="s">
        <v>381</v>
      </c>
      <c r="F51" s="27" t="s">
        <v>382</v>
      </c>
      <c r="G51" s="20" t="s">
        <v>383</v>
      </c>
      <c r="H51" s="40">
        <v>134.19833333333332</v>
      </c>
      <c r="I51" s="40">
        <v>-25.83</v>
      </c>
      <c r="J51" s="20" t="s">
        <v>384</v>
      </c>
      <c r="K51" s="27" t="s">
        <v>343</v>
      </c>
      <c r="L51" s="26">
        <v>-170</v>
      </c>
      <c r="M51" s="23" t="s">
        <v>308</v>
      </c>
      <c r="N51" s="24">
        <v>60</v>
      </c>
      <c r="O51" s="20" t="s">
        <v>447</v>
      </c>
      <c r="Q51" s="27" t="s">
        <v>302</v>
      </c>
      <c r="R51" s="20" t="s">
        <v>361</v>
      </c>
      <c r="S51" s="20" t="s">
        <v>361</v>
      </c>
      <c r="T51" s="25">
        <v>-25</v>
      </c>
      <c r="W51" s="26" t="s">
        <v>334</v>
      </c>
    </row>
    <row r="52" spans="1:23">
      <c r="A52" s="20" t="s">
        <v>448</v>
      </c>
      <c r="B52" s="20">
        <v>1997</v>
      </c>
      <c r="C52" s="20" t="s">
        <v>349</v>
      </c>
      <c r="E52" s="21">
        <v>4</v>
      </c>
      <c r="F52" s="20" t="s">
        <v>449</v>
      </c>
      <c r="G52" s="20" t="s">
        <v>450</v>
      </c>
      <c r="H52" s="40">
        <v>127.91333333333334</v>
      </c>
      <c r="I52" s="40">
        <v>-26.158333333333331</v>
      </c>
      <c r="J52" s="20" t="s">
        <v>451</v>
      </c>
      <c r="K52" s="27" t="s">
        <v>343</v>
      </c>
      <c r="L52" s="26">
        <v>-3430</v>
      </c>
      <c r="M52" s="23" t="s">
        <v>308</v>
      </c>
      <c r="N52" s="24">
        <v>50</v>
      </c>
      <c r="O52" s="27" t="s">
        <v>452</v>
      </c>
      <c r="P52" s="27">
        <v>1</v>
      </c>
      <c r="Q52" s="27" t="s">
        <v>316</v>
      </c>
      <c r="R52" s="20" t="s">
        <v>400</v>
      </c>
      <c r="S52" s="20" t="s">
        <v>400</v>
      </c>
      <c r="T52" s="28">
        <v>-25</v>
      </c>
      <c r="U52" s="29"/>
      <c r="V52" s="29"/>
      <c r="W52" s="26" t="s">
        <v>354</v>
      </c>
    </row>
    <row r="53" spans="1:23">
      <c r="A53" s="24" t="s">
        <v>453</v>
      </c>
      <c r="B53" s="20">
        <v>1997</v>
      </c>
      <c r="C53" s="20" t="s">
        <v>349</v>
      </c>
      <c r="D53" s="24"/>
      <c r="E53" s="21">
        <v>7</v>
      </c>
      <c r="F53" s="20" t="s">
        <v>454</v>
      </c>
      <c r="G53" s="20" t="s">
        <v>455</v>
      </c>
      <c r="H53" s="40">
        <v>133.4986111111111</v>
      </c>
      <c r="I53" s="40">
        <v>-26.953055555555554</v>
      </c>
      <c r="J53" s="20" t="s">
        <v>456</v>
      </c>
      <c r="K53" s="27" t="s">
        <v>343</v>
      </c>
      <c r="L53" s="22">
        <v>-430</v>
      </c>
      <c r="M53" s="23" t="s">
        <v>308</v>
      </c>
      <c r="N53" s="24">
        <v>35</v>
      </c>
      <c r="O53" s="20" t="s">
        <v>457</v>
      </c>
      <c r="P53" s="20">
        <v>1</v>
      </c>
      <c r="Q53" s="27" t="s">
        <v>316</v>
      </c>
      <c r="R53" s="20" t="s">
        <v>345</v>
      </c>
      <c r="S53" s="20" t="s">
        <v>345</v>
      </c>
      <c r="T53" s="25">
        <v>-25</v>
      </c>
      <c r="U53" s="27" t="s">
        <v>346</v>
      </c>
      <c r="V53" s="20" t="s">
        <v>347</v>
      </c>
      <c r="W53" s="26" t="s">
        <v>354</v>
      </c>
    </row>
    <row r="54" spans="1:23">
      <c r="A54" s="20" t="s">
        <v>458</v>
      </c>
      <c r="B54" s="20">
        <v>1997</v>
      </c>
      <c r="C54" s="20" t="s">
        <v>349</v>
      </c>
      <c r="E54" s="21">
        <v>5</v>
      </c>
      <c r="F54" s="27" t="s">
        <v>459</v>
      </c>
      <c r="G54" s="20" t="s">
        <v>460</v>
      </c>
      <c r="H54" s="40">
        <v>134.31722222222223</v>
      </c>
      <c r="I54" s="40">
        <v>-27.885555555555555</v>
      </c>
      <c r="J54" s="20" t="s">
        <v>461</v>
      </c>
      <c r="K54" s="27" t="s">
        <v>343</v>
      </c>
      <c r="L54" s="26">
        <v>-1820</v>
      </c>
      <c r="M54" s="23" t="s">
        <v>308</v>
      </c>
      <c r="N54" s="24">
        <v>40</v>
      </c>
      <c r="O54" s="20" t="s">
        <v>462</v>
      </c>
      <c r="P54" s="20">
        <v>1</v>
      </c>
      <c r="Q54" s="27" t="s">
        <v>316</v>
      </c>
      <c r="R54" s="20" t="s">
        <v>463</v>
      </c>
      <c r="S54" s="20" t="s">
        <v>463</v>
      </c>
      <c r="T54" s="25">
        <v>-25</v>
      </c>
      <c r="U54" s="27" t="s">
        <v>436</v>
      </c>
      <c r="V54" s="20" t="s">
        <v>347</v>
      </c>
      <c r="W54" s="26" t="s">
        <v>334</v>
      </c>
    </row>
    <row r="55" spans="1:23">
      <c r="A55" s="20" t="s">
        <v>464</v>
      </c>
      <c r="B55" s="20">
        <v>1997</v>
      </c>
      <c r="C55" s="20" t="s">
        <v>349</v>
      </c>
      <c r="E55" s="21">
        <v>5</v>
      </c>
      <c r="F55" s="27" t="s">
        <v>459</v>
      </c>
      <c r="G55" s="20" t="s">
        <v>460</v>
      </c>
      <c r="H55" s="40">
        <v>134.31722222222223</v>
      </c>
      <c r="I55" s="40">
        <v>-27.885555555555555</v>
      </c>
      <c r="J55" s="20" t="s">
        <v>461</v>
      </c>
      <c r="K55" s="27" t="s">
        <v>343</v>
      </c>
      <c r="L55" s="26">
        <v>-510</v>
      </c>
      <c r="M55" s="23" t="s">
        <v>308</v>
      </c>
      <c r="N55" s="24">
        <v>70</v>
      </c>
      <c r="O55" s="20" t="s">
        <v>465</v>
      </c>
      <c r="P55" s="20">
        <v>1</v>
      </c>
      <c r="Q55" s="27" t="s">
        <v>316</v>
      </c>
      <c r="R55" s="20" t="s">
        <v>345</v>
      </c>
      <c r="S55" s="20" t="s">
        <v>345</v>
      </c>
      <c r="T55" s="25">
        <v>-25</v>
      </c>
      <c r="U55" s="27" t="s">
        <v>346</v>
      </c>
      <c r="V55" s="20" t="s">
        <v>347</v>
      </c>
      <c r="W55" s="26" t="s">
        <v>336</v>
      </c>
    </row>
    <row r="56" spans="1:23">
      <c r="A56" s="20" t="s">
        <v>466</v>
      </c>
      <c r="B56" s="20">
        <v>1997</v>
      </c>
      <c r="C56" s="20" t="s">
        <v>349</v>
      </c>
      <c r="E56" s="21">
        <v>5</v>
      </c>
      <c r="F56" s="27" t="s">
        <v>459</v>
      </c>
      <c r="G56" s="20" t="s">
        <v>460</v>
      </c>
      <c r="H56" s="40">
        <v>134.31722222222223</v>
      </c>
      <c r="I56" s="40">
        <v>-27.885555555555555</v>
      </c>
      <c r="J56" s="20" t="s">
        <v>461</v>
      </c>
      <c r="K56" s="27" t="s">
        <v>343</v>
      </c>
      <c r="L56" s="26">
        <v>-1430</v>
      </c>
      <c r="M56" s="23" t="s">
        <v>308</v>
      </c>
      <c r="N56" s="24">
        <v>50</v>
      </c>
      <c r="O56" s="20" t="s">
        <v>467</v>
      </c>
      <c r="P56" s="20">
        <v>1</v>
      </c>
      <c r="Q56" s="27" t="s">
        <v>316</v>
      </c>
      <c r="R56" s="20" t="s">
        <v>345</v>
      </c>
      <c r="S56" s="20" t="s">
        <v>345</v>
      </c>
      <c r="T56" s="25">
        <v>-25</v>
      </c>
      <c r="U56" s="27" t="s">
        <v>346</v>
      </c>
      <c r="V56" s="20" t="s">
        <v>347</v>
      </c>
      <c r="W56" s="26" t="s">
        <v>334</v>
      </c>
    </row>
    <row r="57" spans="1:23">
      <c r="A57" s="20" t="s">
        <v>468</v>
      </c>
      <c r="B57" s="20">
        <v>1997</v>
      </c>
      <c r="C57" s="20" t="s">
        <v>349</v>
      </c>
      <c r="E57" s="21">
        <v>5</v>
      </c>
      <c r="F57" s="27" t="s">
        <v>459</v>
      </c>
      <c r="G57" s="20" t="s">
        <v>460</v>
      </c>
      <c r="H57" s="40">
        <v>134.31722222222223</v>
      </c>
      <c r="I57" s="40">
        <v>-27.885555555555555</v>
      </c>
      <c r="J57" s="20" t="s">
        <v>461</v>
      </c>
      <c r="K57" s="27" t="s">
        <v>343</v>
      </c>
      <c r="L57" s="26">
        <v>-700</v>
      </c>
      <c r="M57" s="23" t="s">
        <v>308</v>
      </c>
      <c r="N57" s="24">
        <v>95</v>
      </c>
      <c r="O57" s="20" t="s">
        <v>469</v>
      </c>
      <c r="P57" s="20">
        <v>1</v>
      </c>
      <c r="Q57" s="27" t="s">
        <v>316</v>
      </c>
      <c r="R57" s="20" t="s">
        <v>345</v>
      </c>
      <c r="S57" s="20" t="s">
        <v>345</v>
      </c>
      <c r="T57" s="25">
        <v>-25</v>
      </c>
      <c r="U57" s="27" t="s">
        <v>346</v>
      </c>
      <c r="V57" s="20" t="s">
        <v>347</v>
      </c>
      <c r="W57" s="26" t="s">
        <v>336</v>
      </c>
    </row>
    <row r="58" spans="1:23">
      <c r="A58" s="20" t="s">
        <v>470</v>
      </c>
      <c r="B58" s="20">
        <v>1997</v>
      </c>
      <c r="C58" s="20" t="s">
        <v>349</v>
      </c>
      <c r="E58" s="21">
        <v>5</v>
      </c>
      <c r="F58" s="27" t="s">
        <v>459</v>
      </c>
      <c r="G58" s="20" t="s">
        <v>460</v>
      </c>
      <c r="H58" s="40">
        <v>134.31722222222223</v>
      </c>
      <c r="I58" s="40">
        <v>-27.885555555555555</v>
      </c>
      <c r="J58" s="20" t="s">
        <v>461</v>
      </c>
      <c r="K58" s="27" t="s">
        <v>343</v>
      </c>
      <c r="L58" s="26">
        <v>-1120</v>
      </c>
      <c r="M58" s="23" t="s">
        <v>308</v>
      </c>
      <c r="N58" s="24">
        <v>50</v>
      </c>
      <c r="O58" s="20" t="s">
        <v>471</v>
      </c>
      <c r="P58" s="20">
        <v>1</v>
      </c>
      <c r="Q58" s="27" t="s">
        <v>316</v>
      </c>
      <c r="R58" s="20" t="s">
        <v>345</v>
      </c>
      <c r="S58" s="20" t="s">
        <v>345</v>
      </c>
      <c r="T58" s="25">
        <v>-25</v>
      </c>
      <c r="U58" s="27" t="s">
        <v>346</v>
      </c>
      <c r="V58" s="20" t="s">
        <v>347</v>
      </c>
      <c r="W58" s="26" t="s">
        <v>336</v>
      </c>
    </row>
    <row r="59" spans="1:23">
      <c r="A59" s="20" t="s">
        <v>472</v>
      </c>
      <c r="B59" s="20">
        <v>1997</v>
      </c>
      <c r="C59" s="20" t="s">
        <v>349</v>
      </c>
      <c r="E59" s="21">
        <v>5</v>
      </c>
      <c r="F59" s="27" t="s">
        <v>459</v>
      </c>
      <c r="G59" s="20" t="s">
        <v>460</v>
      </c>
      <c r="H59" s="40">
        <v>134.31722222222223</v>
      </c>
      <c r="I59" s="40">
        <v>-27.885555555555555</v>
      </c>
      <c r="J59" s="20" t="s">
        <v>461</v>
      </c>
      <c r="K59" s="27" t="s">
        <v>343</v>
      </c>
      <c r="L59" s="26">
        <v>-1540</v>
      </c>
      <c r="M59" s="23" t="s">
        <v>308</v>
      </c>
      <c r="N59" s="24">
        <v>110</v>
      </c>
      <c r="O59" s="20" t="s">
        <v>473</v>
      </c>
      <c r="P59" s="20">
        <v>1</v>
      </c>
      <c r="Q59" s="27" t="s">
        <v>316</v>
      </c>
      <c r="R59" s="20" t="s">
        <v>392</v>
      </c>
      <c r="S59" s="20" t="s">
        <v>393</v>
      </c>
      <c r="T59" s="25">
        <v>-27</v>
      </c>
      <c r="U59" s="20" t="s">
        <v>394</v>
      </c>
      <c r="V59" s="20" t="s">
        <v>347</v>
      </c>
      <c r="W59" s="26" t="s">
        <v>334</v>
      </c>
    </row>
    <row r="60" spans="1:23">
      <c r="A60" s="24" t="s">
        <v>474</v>
      </c>
      <c r="B60" s="20">
        <v>1997</v>
      </c>
      <c r="C60" s="20" t="s">
        <v>349</v>
      </c>
      <c r="D60" s="24"/>
      <c r="E60" s="21">
        <v>5</v>
      </c>
      <c r="F60" s="27" t="s">
        <v>459</v>
      </c>
      <c r="G60" s="20" t="s">
        <v>460</v>
      </c>
      <c r="H60" s="40">
        <v>134.31722222222223</v>
      </c>
      <c r="I60" s="40">
        <v>-27.885555555555555</v>
      </c>
      <c r="J60" s="20" t="s">
        <v>461</v>
      </c>
      <c r="K60" s="27" t="s">
        <v>343</v>
      </c>
      <c r="L60" s="22">
        <v>-1530</v>
      </c>
      <c r="M60" s="23" t="s">
        <v>308</v>
      </c>
      <c r="N60" s="24">
        <v>50</v>
      </c>
      <c r="O60" s="20" t="s">
        <v>475</v>
      </c>
      <c r="P60" s="20">
        <v>1</v>
      </c>
      <c r="Q60" s="27" t="s">
        <v>316</v>
      </c>
      <c r="R60" s="20" t="s">
        <v>345</v>
      </c>
      <c r="S60" s="20" t="s">
        <v>345</v>
      </c>
      <c r="T60" s="25">
        <v>-25</v>
      </c>
      <c r="U60" s="27" t="s">
        <v>346</v>
      </c>
      <c r="V60" s="20" t="s">
        <v>347</v>
      </c>
      <c r="W60" s="26" t="s">
        <v>334</v>
      </c>
    </row>
    <row r="61" spans="1:23">
      <c r="A61" s="20" t="s">
        <v>476</v>
      </c>
      <c r="B61" s="20">
        <v>1997</v>
      </c>
      <c r="C61" s="20" t="s">
        <v>349</v>
      </c>
      <c r="E61" s="21">
        <v>5</v>
      </c>
      <c r="F61" s="27" t="s">
        <v>459</v>
      </c>
      <c r="G61" s="20" t="s">
        <v>460</v>
      </c>
      <c r="H61" s="40">
        <v>134.31722222222223</v>
      </c>
      <c r="I61" s="40">
        <v>-27.885555555555555</v>
      </c>
      <c r="J61" s="20" t="s">
        <v>461</v>
      </c>
      <c r="K61" s="27" t="s">
        <v>343</v>
      </c>
      <c r="L61" s="26">
        <v>-1610</v>
      </c>
      <c r="M61" s="23" t="s">
        <v>308</v>
      </c>
      <c r="N61" s="24">
        <v>50</v>
      </c>
      <c r="O61" s="20" t="s">
        <v>477</v>
      </c>
      <c r="P61" s="20">
        <v>1</v>
      </c>
      <c r="Q61" s="27" t="s">
        <v>316</v>
      </c>
      <c r="R61" s="20" t="s">
        <v>345</v>
      </c>
      <c r="S61" s="20" t="s">
        <v>345</v>
      </c>
      <c r="T61" s="25">
        <v>-25</v>
      </c>
      <c r="U61" s="27" t="s">
        <v>346</v>
      </c>
      <c r="V61" s="20" t="s">
        <v>347</v>
      </c>
      <c r="W61" s="26" t="s">
        <v>334</v>
      </c>
    </row>
    <row r="62" spans="1:23">
      <c r="A62" s="20" t="s">
        <v>478</v>
      </c>
      <c r="B62" s="20">
        <v>1997</v>
      </c>
      <c r="C62" s="20" t="s">
        <v>349</v>
      </c>
      <c r="E62" s="21">
        <v>5</v>
      </c>
      <c r="F62" s="27" t="s">
        <v>459</v>
      </c>
      <c r="G62" s="20" t="s">
        <v>460</v>
      </c>
      <c r="H62" s="40">
        <v>134.31722222222223</v>
      </c>
      <c r="I62" s="40">
        <v>-27.885555555555555</v>
      </c>
      <c r="J62" s="20" t="s">
        <v>461</v>
      </c>
      <c r="K62" s="27" t="s">
        <v>343</v>
      </c>
      <c r="L62" s="26">
        <v>-1130</v>
      </c>
      <c r="M62" s="23" t="s">
        <v>308</v>
      </c>
      <c r="N62" s="24">
        <v>60</v>
      </c>
      <c r="O62" s="20" t="s">
        <v>479</v>
      </c>
      <c r="P62" s="20">
        <v>1</v>
      </c>
      <c r="Q62" s="27" t="s">
        <v>316</v>
      </c>
      <c r="R62" s="20" t="s">
        <v>345</v>
      </c>
      <c r="S62" s="20" t="s">
        <v>345</v>
      </c>
      <c r="T62" s="25">
        <v>-21.3</v>
      </c>
      <c r="U62" s="27" t="s">
        <v>346</v>
      </c>
      <c r="V62" s="20" t="s">
        <v>347</v>
      </c>
      <c r="W62" s="26" t="s">
        <v>334</v>
      </c>
    </row>
    <row r="63" spans="1:23">
      <c r="A63" s="20" t="s">
        <v>480</v>
      </c>
      <c r="B63" s="20">
        <v>1997</v>
      </c>
      <c r="C63" s="20" t="s">
        <v>349</v>
      </c>
      <c r="E63" s="21">
        <v>5</v>
      </c>
      <c r="F63" s="27" t="s">
        <v>459</v>
      </c>
      <c r="G63" s="20" t="s">
        <v>460</v>
      </c>
      <c r="H63" s="40">
        <v>134.31722222222223</v>
      </c>
      <c r="I63" s="40">
        <v>-27.885555555555555</v>
      </c>
      <c r="J63" s="20" t="s">
        <v>461</v>
      </c>
      <c r="K63" s="27" t="s">
        <v>343</v>
      </c>
      <c r="L63" s="26">
        <v>-940</v>
      </c>
      <c r="M63" s="23" t="s">
        <v>308</v>
      </c>
      <c r="N63" s="24">
        <v>60</v>
      </c>
      <c r="O63" s="20" t="s">
        <v>481</v>
      </c>
      <c r="P63" s="20">
        <v>1</v>
      </c>
      <c r="Q63" s="27" t="s">
        <v>316</v>
      </c>
      <c r="R63" s="20" t="s">
        <v>392</v>
      </c>
      <c r="S63" s="20" t="s">
        <v>393</v>
      </c>
      <c r="T63" s="25">
        <v>-27</v>
      </c>
      <c r="U63" s="20" t="s">
        <v>394</v>
      </c>
      <c r="V63" s="20" t="s">
        <v>347</v>
      </c>
      <c r="W63" s="26" t="s">
        <v>334</v>
      </c>
    </row>
    <row r="64" spans="1:23">
      <c r="A64" s="20" t="s">
        <v>482</v>
      </c>
      <c r="B64" s="20">
        <v>1997</v>
      </c>
      <c r="C64" s="20" t="s">
        <v>349</v>
      </c>
      <c r="E64" s="21" t="s">
        <v>483</v>
      </c>
      <c r="F64" s="20" t="s">
        <v>484</v>
      </c>
      <c r="G64" s="20" t="s">
        <v>485</v>
      </c>
      <c r="H64" s="40">
        <v>122.97694444444444</v>
      </c>
      <c r="I64" s="40">
        <v>-28.419722222222223</v>
      </c>
      <c r="J64" s="20" t="s">
        <v>486</v>
      </c>
      <c r="K64" s="27" t="s">
        <v>343</v>
      </c>
      <c r="L64" s="26">
        <v>-1950</v>
      </c>
      <c r="M64" s="23" t="s">
        <v>308</v>
      </c>
      <c r="N64" s="24">
        <v>70</v>
      </c>
      <c r="O64" s="20" t="s">
        <v>487</v>
      </c>
      <c r="Q64" s="27" t="s">
        <v>302</v>
      </c>
      <c r="R64" s="20" t="s">
        <v>488</v>
      </c>
      <c r="S64" s="20" t="s">
        <v>445</v>
      </c>
      <c r="T64" s="25">
        <v>-25</v>
      </c>
      <c r="W64" s="26" t="s">
        <v>336</v>
      </c>
    </row>
    <row r="65" spans="1:24">
      <c r="A65" s="20" t="s">
        <v>489</v>
      </c>
      <c r="B65" s="20">
        <v>1997</v>
      </c>
      <c r="C65" s="20" t="s">
        <v>349</v>
      </c>
      <c r="E65" s="21" t="s">
        <v>483</v>
      </c>
      <c r="F65" s="20" t="s">
        <v>484</v>
      </c>
      <c r="G65" s="20" t="s">
        <v>485</v>
      </c>
      <c r="H65" s="40">
        <v>122.97694444444444</v>
      </c>
      <c r="I65" s="40">
        <v>-28.419722222222223</v>
      </c>
      <c r="J65" s="20" t="s">
        <v>486</v>
      </c>
      <c r="K65" s="27" t="s">
        <v>343</v>
      </c>
      <c r="L65" s="26">
        <v>-20</v>
      </c>
      <c r="M65" s="23" t="s">
        <v>308</v>
      </c>
      <c r="N65" s="24">
        <v>80</v>
      </c>
      <c r="O65" s="20" t="s">
        <v>490</v>
      </c>
      <c r="Q65" s="27" t="s">
        <v>302</v>
      </c>
      <c r="R65" s="20" t="s">
        <v>361</v>
      </c>
      <c r="S65" s="20" t="s">
        <v>361</v>
      </c>
      <c r="T65" s="25">
        <v>-25</v>
      </c>
      <c r="W65" s="26" t="s">
        <v>354</v>
      </c>
    </row>
    <row r="66" spans="1:24">
      <c r="A66" s="20" t="s">
        <v>491</v>
      </c>
      <c r="E66" s="21">
        <v>1</v>
      </c>
      <c r="F66" s="20" t="s">
        <v>492</v>
      </c>
      <c r="G66" s="20" t="s">
        <v>493</v>
      </c>
      <c r="H66" s="40">
        <v>142.56666666666666</v>
      </c>
      <c r="I66" s="40">
        <v>-30.066666666666666</v>
      </c>
      <c r="J66" s="20" t="s">
        <v>494</v>
      </c>
      <c r="K66" s="20" t="s">
        <v>495</v>
      </c>
      <c r="L66" s="22">
        <v>-770</v>
      </c>
      <c r="M66" s="23" t="s">
        <v>308</v>
      </c>
      <c r="N66" s="24">
        <v>70</v>
      </c>
      <c r="O66" s="20" t="s">
        <v>496</v>
      </c>
      <c r="P66" s="20">
        <v>1</v>
      </c>
      <c r="Q66" s="20" t="s">
        <v>316</v>
      </c>
      <c r="R66" s="20" t="s">
        <v>345</v>
      </c>
      <c r="S66" s="20" t="s">
        <v>345</v>
      </c>
      <c r="T66" s="25">
        <v>-27.2</v>
      </c>
      <c r="W66" s="26" t="s">
        <v>334</v>
      </c>
    </row>
    <row r="67" spans="1:24" s="17" customFormat="1">
      <c r="A67" s="20" t="s">
        <v>497</v>
      </c>
      <c r="B67" s="20"/>
      <c r="C67" s="20"/>
      <c r="D67" s="20"/>
      <c r="E67" s="21">
        <v>1</v>
      </c>
      <c r="F67" s="20" t="s">
        <v>498</v>
      </c>
      <c r="G67" s="20" t="s">
        <v>499</v>
      </c>
      <c r="H67" s="40">
        <v>142.56666666666666</v>
      </c>
      <c r="I67" s="40">
        <v>-30.066666666666666</v>
      </c>
      <c r="J67" s="20" t="s">
        <v>494</v>
      </c>
      <c r="K67" s="20" t="s">
        <v>495</v>
      </c>
      <c r="L67" s="22">
        <v>-620</v>
      </c>
      <c r="M67" s="23" t="s">
        <v>308</v>
      </c>
      <c r="N67" s="24">
        <v>55</v>
      </c>
      <c r="O67" s="20" t="s">
        <v>500</v>
      </c>
      <c r="P67" s="20">
        <v>1</v>
      </c>
      <c r="Q67" s="20" t="s">
        <v>316</v>
      </c>
      <c r="R67" s="20" t="s">
        <v>393</v>
      </c>
      <c r="S67" s="20" t="s">
        <v>393</v>
      </c>
      <c r="T67" s="25">
        <v>-27.5</v>
      </c>
      <c r="U67" s="20"/>
      <c r="V67" s="20"/>
      <c r="W67" s="26"/>
      <c r="X67" s="20"/>
    </row>
    <row r="68" spans="1:24">
      <c r="A68" s="20" t="s">
        <v>497</v>
      </c>
      <c r="E68" s="21">
        <v>1</v>
      </c>
      <c r="F68" s="20" t="s">
        <v>498</v>
      </c>
      <c r="G68" s="20" t="s">
        <v>499</v>
      </c>
      <c r="H68" s="40">
        <v>142.56666666666666</v>
      </c>
      <c r="I68" s="40">
        <v>-30.066666666666666</v>
      </c>
      <c r="J68" s="20" t="s">
        <v>494</v>
      </c>
      <c r="K68" s="20" t="s">
        <v>495</v>
      </c>
      <c r="L68" s="22">
        <v>-470</v>
      </c>
      <c r="M68" s="23" t="s">
        <v>308</v>
      </c>
      <c r="N68" s="24">
        <v>65</v>
      </c>
      <c r="O68" s="20" t="s">
        <v>501</v>
      </c>
      <c r="P68" s="20">
        <v>1</v>
      </c>
      <c r="Q68" s="20" t="s">
        <v>316</v>
      </c>
      <c r="R68" s="20" t="s">
        <v>345</v>
      </c>
      <c r="S68" s="20" t="s">
        <v>345</v>
      </c>
      <c r="T68" s="25">
        <v>-24.1</v>
      </c>
    </row>
    <row r="69" spans="1:24">
      <c r="A69" s="20" t="s">
        <v>502</v>
      </c>
      <c r="E69" s="21">
        <v>1</v>
      </c>
      <c r="F69" s="20" t="s">
        <v>498</v>
      </c>
      <c r="G69" s="20" t="s">
        <v>499</v>
      </c>
      <c r="H69" s="40">
        <v>142.56666666666666</v>
      </c>
      <c r="I69" s="40">
        <v>-30.066666666666666</v>
      </c>
      <c r="J69" s="20" t="s">
        <v>494</v>
      </c>
      <c r="K69" s="27" t="s">
        <v>495</v>
      </c>
      <c r="L69" s="22">
        <v>-590</v>
      </c>
      <c r="M69" s="23" t="s">
        <v>308</v>
      </c>
      <c r="N69" s="24">
        <v>45</v>
      </c>
      <c r="O69" s="20" t="s">
        <v>503</v>
      </c>
      <c r="P69" s="20">
        <v>1</v>
      </c>
      <c r="Q69" s="20" t="s">
        <v>316</v>
      </c>
      <c r="R69" s="20" t="s">
        <v>345</v>
      </c>
      <c r="S69" s="20" t="s">
        <v>345</v>
      </c>
      <c r="W69" s="26" t="s">
        <v>336</v>
      </c>
    </row>
    <row r="70" spans="1:24">
      <c r="A70" s="20" t="s">
        <v>504</v>
      </c>
      <c r="E70" s="21">
        <v>1</v>
      </c>
      <c r="F70" s="20" t="s">
        <v>498</v>
      </c>
      <c r="G70" s="20" t="s">
        <v>499</v>
      </c>
      <c r="H70" s="40">
        <v>142.56666666666666</v>
      </c>
      <c r="I70" s="40">
        <v>-30.066666666666666</v>
      </c>
      <c r="J70" s="20" t="s">
        <v>494</v>
      </c>
      <c r="K70" s="20" t="s">
        <v>495</v>
      </c>
      <c r="L70" s="22">
        <v>-560</v>
      </c>
      <c r="M70" s="23" t="s">
        <v>308</v>
      </c>
      <c r="N70" s="24">
        <v>60</v>
      </c>
      <c r="O70" s="20" t="s">
        <v>505</v>
      </c>
      <c r="P70" s="20">
        <v>1</v>
      </c>
      <c r="Q70" s="20" t="s">
        <v>316</v>
      </c>
      <c r="R70" s="20" t="s">
        <v>345</v>
      </c>
      <c r="S70" s="20" t="s">
        <v>345</v>
      </c>
      <c r="T70" s="25">
        <v>-19.399999999999999</v>
      </c>
    </row>
    <row r="71" spans="1:24">
      <c r="A71" s="20" t="s">
        <v>506</v>
      </c>
      <c r="E71" s="21">
        <v>1</v>
      </c>
      <c r="F71" s="20" t="s">
        <v>498</v>
      </c>
      <c r="G71" s="20" t="s">
        <v>499</v>
      </c>
      <c r="H71" s="40">
        <v>142.56666666666666</v>
      </c>
      <c r="I71" s="40">
        <v>-30.066666666666666</v>
      </c>
      <c r="J71" s="20" t="s">
        <v>494</v>
      </c>
      <c r="K71" s="20" t="s">
        <v>495</v>
      </c>
      <c r="L71" s="22">
        <v>-3670</v>
      </c>
      <c r="M71" s="23" t="s">
        <v>308</v>
      </c>
      <c r="N71" s="24">
        <v>70</v>
      </c>
      <c r="O71" s="20" t="s">
        <v>507</v>
      </c>
      <c r="P71" s="20">
        <v>1</v>
      </c>
      <c r="Q71" s="20" t="s">
        <v>316</v>
      </c>
      <c r="R71" s="20" t="s">
        <v>345</v>
      </c>
      <c r="S71" s="20" t="s">
        <v>345</v>
      </c>
    </row>
    <row r="72" spans="1:24">
      <c r="A72" s="20" t="s">
        <v>508</v>
      </c>
      <c r="E72" s="21">
        <v>1</v>
      </c>
      <c r="F72" s="20" t="s">
        <v>498</v>
      </c>
      <c r="G72" s="20" t="s">
        <v>499</v>
      </c>
      <c r="H72" s="40">
        <v>142.56666666666666</v>
      </c>
      <c r="I72" s="40">
        <v>-30.066666666666666</v>
      </c>
      <c r="J72" s="20" t="s">
        <v>494</v>
      </c>
      <c r="K72" s="20" t="s">
        <v>495</v>
      </c>
      <c r="L72" s="22">
        <v>-880</v>
      </c>
      <c r="M72" s="23" t="s">
        <v>308</v>
      </c>
      <c r="N72" s="24">
        <v>75</v>
      </c>
      <c r="O72" s="20" t="s">
        <v>509</v>
      </c>
      <c r="P72" s="20">
        <v>1</v>
      </c>
      <c r="Q72" s="20" t="s">
        <v>316</v>
      </c>
      <c r="R72" s="20" t="s">
        <v>393</v>
      </c>
      <c r="S72" s="20" t="s">
        <v>393</v>
      </c>
    </row>
    <row r="73" spans="1:24">
      <c r="A73" s="20" t="s">
        <v>508</v>
      </c>
      <c r="E73" s="21">
        <v>1</v>
      </c>
      <c r="F73" s="20" t="s">
        <v>498</v>
      </c>
      <c r="G73" s="20" t="s">
        <v>499</v>
      </c>
      <c r="H73" s="40">
        <v>142.56666666666666</v>
      </c>
      <c r="I73" s="40">
        <v>-30.066666666666666</v>
      </c>
      <c r="J73" s="20" t="s">
        <v>494</v>
      </c>
      <c r="K73" s="20" t="s">
        <v>495</v>
      </c>
      <c r="L73" s="22">
        <v>-880</v>
      </c>
      <c r="M73" s="23" t="s">
        <v>308</v>
      </c>
      <c r="N73" s="24">
        <v>150</v>
      </c>
      <c r="O73" s="20" t="s">
        <v>510</v>
      </c>
      <c r="P73" s="20">
        <v>1</v>
      </c>
      <c r="Q73" s="20" t="s">
        <v>316</v>
      </c>
      <c r="R73" s="20" t="s">
        <v>345</v>
      </c>
      <c r="S73" s="20" t="s">
        <v>345</v>
      </c>
    </row>
    <row r="74" spans="1:24">
      <c r="A74" s="20" t="s">
        <v>511</v>
      </c>
      <c r="E74" s="21">
        <v>1</v>
      </c>
      <c r="F74" s="20" t="s">
        <v>498</v>
      </c>
      <c r="G74" s="20" t="s">
        <v>499</v>
      </c>
      <c r="H74" s="40">
        <v>142.56666666666666</v>
      </c>
      <c r="I74" s="40">
        <v>-30.066666666666666</v>
      </c>
      <c r="J74" s="20" t="s">
        <v>494</v>
      </c>
      <c r="K74" s="20" t="s">
        <v>495</v>
      </c>
      <c r="L74" s="22">
        <v>-4350</v>
      </c>
      <c r="M74" s="23" t="s">
        <v>308</v>
      </c>
      <c r="N74" s="24">
        <v>60</v>
      </c>
      <c r="O74" s="20" t="s">
        <v>512</v>
      </c>
      <c r="P74" s="20">
        <v>1</v>
      </c>
      <c r="Q74" s="20" t="s">
        <v>316</v>
      </c>
      <c r="R74" s="20" t="s">
        <v>345</v>
      </c>
      <c r="S74" s="20" t="s">
        <v>345</v>
      </c>
      <c r="T74" s="25">
        <v>-24.2</v>
      </c>
    </row>
    <row r="75" spans="1:24">
      <c r="A75" s="20" t="s">
        <v>513</v>
      </c>
      <c r="E75" s="21">
        <v>1</v>
      </c>
      <c r="F75" s="20" t="s">
        <v>498</v>
      </c>
      <c r="G75" s="20" t="s">
        <v>499</v>
      </c>
      <c r="H75" s="40">
        <v>142.56666666666666</v>
      </c>
      <c r="I75" s="40">
        <v>-30.066666666666666</v>
      </c>
      <c r="J75" s="20" t="s">
        <v>494</v>
      </c>
      <c r="K75" s="20" t="s">
        <v>495</v>
      </c>
      <c r="L75" s="22">
        <v>-2430</v>
      </c>
      <c r="M75" s="23" t="s">
        <v>308</v>
      </c>
      <c r="N75" s="24">
        <v>80</v>
      </c>
      <c r="O75" s="20" t="s">
        <v>514</v>
      </c>
      <c r="P75" s="20">
        <v>1</v>
      </c>
      <c r="Q75" s="20" t="s">
        <v>316</v>
      </c>
      <c r="R75" s="20" t="s">
        <v>345</v>
      </c>
      <c r="S75" s="20" t="s">
        <v>345</v>
      </c>
    </row>
    <row r="76" spans="1:24">
      <c r="A76" s="20" t="s">
        <v>515</v>
      </c>
      <c r="E76" s="21">
        <v>1</v>
      </c>
      <c r="F76" s="20" t="s">
        <v>498</v>
      </c>
      <c r="G76" s="20" t="s">
        <v>499</v>
      </c>
      <c r="H76" s="40">
        <v>142.56666666666666</v>
      </c>
      <c r="I76" s="40">
        <v>-30.066666666666666</v>
      </c>
      <c r="J76" s="20" t="s">
        <v>494</v>
      </c>
      <c r="K76" s="20" t="s">
        <v>495</v>
      </c>
      <c r="L76" s="22">
        <v>-450</v>
      </c>
      <c r="M76" s="23" t="s">
        <v>308</v>
      </c>
      <c r="N76" s="24">
        <v>60</v>
      </c>
      <c r="O76" s="20" t="s">
        <v>516</v>
      </c>
      <c r="P76" s="20">
        <v>1</v>
      </c>
      <c r="Q76" s="20" t="s">
        <v>316</v>
      </c>
      <c r="R76" s="20" t="s">
        <v>393</v>
      </c>
      <c r="S76" s="20" t="s">
        <v>393</v>
      </c>
      <c r="T76" s="25">
        <v>-26.3</v>
      </c>
      <c r="W76" s="26" t="s">
        <v>334</v>
      </c>
    </row>
    <row r="77" spans="1:24">
      <c r="A77" s="20" t="s">
        <v>517</v>
      </c>
      <c r="E77" s="21">
        <v>1</v>
      </c>
      <c r="F77" s="20" t="s">
        <v>498</v>
      </c>
      <c r="G77" s="20" t="s">
        <v>499</v>
      </c>
      <c r="H77" s="40">
        <v>142.56666666666666</v>
      </c>
      <c r="I77" s="40">
        <v>-30.066666666666666</v>
      </c>
      <c r="J77" s="20" t="s">
        <v>494</v>
      </c>
      <c r="K77" s="20" t="s">
        <v>495</v>
      </c>
      <c r="L77" s="22">
        <v>0</v>
      </c>
      <c r="M77" s="23" t="s">
        <v>308</v>
      </c>
      <c r="N77" s="24"/>
      <c r="O77" s="20" t="s">
        <v>518</v>
      </c>
      <c r="P77" s="20">
        <v>1</v>
      </c>
      <c r="Q77" s="20" t="s">
        <v>316</v>
      </c>
      <c r="R77" s="20" t="s">
        <v>519</v>
      </c>
      <c r="S77" s="20" t="s">
        <v>519</v>
      </c>
    </row>
    <row r="78" spans="1:24">
      <c r="A78" s="20" t="s">
        <v>520</v>
      </c>
      <c r="B78" s="20">
        <v>1997</v>
      </c>
      <c r="C78" s="20" t="s">
        <v>349</v>
      </c>
      <c r="E78" s="21" t="s">
        <v>521</v>
      </c>
      <c r="F78" s="20" t="s">
        <v>522</v>
      </c>
      <c r="G78" s="27" t="s">
        <v>523</v>
      </c>
      <c r="H78" s="40">
        <v>123.26722222222222</v>
      </c>
      <c r="I78" s="40">
        <v>-30.328888888888887</v>
      </c>
      <c r="J78" s="24" t="s">
        <v>524</v>
      </c>
      <c r="K78" s="27" t="s">
        <v>343</v>
      </c>
      <c r="L78" s="26">
        <v>-530</v>
      </c>
      <c r="M78" s="23" t="s">
        <v>308</v>
      </c>
      <c r="N78" s="24">
        <v>70</v>
      </c>
      <c r="O78" s="20" t="s">
        <v>525</v>
      </c>
      <c r="P78" s="20">
        <v>1</v>
      </c>
      <c r="Q78" s="27" t="s">
        <v>316</v>
      </c>
      <c r="R78" s="20" t="s">
        <v>345</v>
      </c>
      <c r="S78" s="20" t="s">
        <v>345</v>
      </c>
      <c r="T78" s="25">
        <v>-25.8</v>
      </c>
      <c r="V78" s="20" t="s">
        <v>526</v>
      </c>
      <c r="W78" s="26" t="s">
        <v>334</v>
      </c>
    </row>
    <row r="79" spans="1:24">
      <c r="A79" s="20" t="s">
        <v>527</v>
      </c>
      <c r="B79" s="20">
        <v>1997</v>
      </c>
      <c r="C79" s="20" t="s">
        <v>349</v>
      </c>
      <c r="E79" s="21" t="s">
        <v>521</v>
      </c>
      <c r="F79" s="20" t="s">
        <v>522</v>
      </c>
      <c r="G79" s="27" t="s">
        <v>523</v>
      </c>
      <c r="H79" s="40">
        <v>123.26722222222222</v>
      </c>
      <c r="I79" s="40">
        <v>-30.328888888888887</v>
      </c>
      <c r="J79" s="24" t="s">
        <v>524</v>
      </c>
      <c r="K79" s="27" t="s">
        <v>343</v>
      </c>
      <c r="L79" s="26">
        <v>-590</v>
      </c>
      <c r="M79" s="23" t="s">
        <v>308</v>
      </c>
      <c r="N79" s="24">
        <v>55</v>
      </c>
      <c r="O79" s="20" t="s">
        <v>528</v>
      </c>
      <c r="Q79" s="27" t="s">
        <v>302</v>
      </c>
      <c r="R79" s="20" t="s">
        <v>361</v>
      </c>
      <c r="S79" s="20" t="s">
        <v>361</v>
      </c>
      <c r="T79" s="25">
        <v>-25</v>
      </c>
      <c r="W79" s="26" t="s">
        <v>336</v>
      </c>
    </row>
    <row r="80" spans="1:24">
      <c r="A80" s="20" t="s">
        <v>529</v>
      </c>
      <c r="B80" s="20">
        <v>1997</v>
      </c>
      <c r="C80" s="20" t="s">
        <v>349</v>
      </c>
      <c r="E80" s="21" t="s">
        <v>521</v>
      </c>
      <c r="F80" s="20" t="s">
        <v>522</v>
      </c>
      <c r="G80" s="27" t="s">
        <v>523</v>
      </c>
      <c r="H80" s="40">
        <v>123.26722222222222</v>
      </c>
      <c r="I80" s="40">
        <v>-30.328888888888887</v>
      </c>
      <c r="J80" s="24" t="s">
        <v>524</v>
      </c>
      <c r="K80" s="27" t="s">
        <v>343</v>
      </c>
      <c r="L80" s="26">
        <v>-80</v>
      </c>
      <c r="M80" s="23" t="s">
        <v>308</v>
      </c>
      <c r="N80" s="24">
        <v>50</v>
      </c>
      <c r="O80" s="20" t="s">
        <v>530</v>
      </c>
      <c r="P80" s="20">
        <v>1</v>
      </c>
      <c r="Q80" s="27" t="s">
        <v>316</v>
      </c>
      <c r="R80" s="20" t="s">
        <v>361</v>
      </c>
      <c r="S80" s="20" t="s">
        <v>361</v>
      </c>
      <c r="T80" s="25">
        <v>-25</v>
      </c>
      <c r="W80" s="26" t="s">
        <v>334</v>
      </c>
    </row>
    <row r="81" spans="1:25">
      <c r="A81" s="20" t="s">
        <v>531</v>
      </c>
      <c r="B81" s="20">
        <v>1997</v>
      </c>
      <c r="C81" s="20" t="s">
        <v>349</v>
      </c>
      <c r="E81" s="21" t="s">
        <v>521</v>
      </c>
      <c r="F81" s="20" t="s">
        <v>522</v>
      </c>
      <c r="G81" s="27" t="s">
        <v>523</v>
      </c>
      <c r="H81" s="40">
        <v>123.26722222222222</v>
      </c>
      <c r="I81" s="40">
        <v>-30.328888888888887</v>
      </c>
      <c r="J81" s="20" t="s">
        <v>524</v>
      </c>
      <c r="K81" s="27" t="s">
        <v>343</v>
      </c>
      <c r="L81" s="26">
        <v>-410</v>
      </c>
      <c r="M81" s="23" t="s">
        <v>308</v>
      </c>
      <c r="N81" s="24">
        <v>40</v>
      </c>
      <c r="O81" s="20" t="s">
        <v>532</v>
      </c>
      <c r="P81" s="20">
        <v>1</v>
      </c>
      <c r="Q81" s="27" t="s">
        <v>316</v>
      </c>
      <c r="R81" s="20" t="s">
        <v>345</v>
      </c>
      <c r="S81" s="20" t="s">
        <v>345</v>
      </c>
      <c r="T81" s="25">
        <v>-25</v>
      </c>
      <c r="V81" s="20" t="s">
        <v>526</v>
      </c>
      <c r="W81" s="26" t="s">
        <v>354</v>
      </c>
    </row>
    <row r="82" spans="1:25">
      <c r="A82" s="20" t="s">
        <v>531</v>
      </c>
      <c r="B82" s="20">
        <v>1997</v>
      </c>
      <c r="C82" s="20" t="s">
        <v>349</v>
      </c>
      <c r="E82" s="21" t="s">
        <v>521</v>
      </c>
      <c r="F82" s="20" t="s">
        <v>522</v>
      </c>
      <c r="G82" s="27" t="s">
        <v>523</v>
      </c>
      <c r="H82" s="40">
        <v>123.26722222222222</v>
      </c>
      <c r="I82" s="40">
        <v>-30.328888888888887</v>
      </c>
      <c r="J82" s="24" t="s">
        <v>524</v>
      </c>
      <c r="K82" s="27" t="s">
        <v>343</v>
      </c>
      <c r="L82" s="26">
        <v>-340</v>
      </c>
      <c r="M82" s="23" t="s">
        <v>308</v>
      </c>
      <c r="N82" s="24">
        <v>40</v>
      </c>
      <c r="O82" s="20" t="s">
        <v>533</v>
      </c>
      <c r="P82" s="20">
        <v>1</v>
      </c>
      <c r="Q82" s="27" t="s">
        <v>316</v>
      </c>
      <c r="R82" s="20" t="s">
        <v>345</v>
      </c>
      <c r="S82" s="20" t="s">
        <v>345</v>
      </c>
      <c r="T82" s="25">
        <v>-25</v>
      </c>
      <c r="U82" s="27" t="s">
        <v>346</v>
      </c>
      <c r="V82" s="20" t="s">
        <v>347</v>
      </c>
      <c r="W82" s="26" t="s">
        <v>334</v>
      </c>
    </row>
    <row r="83" spans="1:25">
      <c r="A83" s="20" t="s">
        <v>534</v>
      </c>
      <c r="E83" s="21">
        <v>1</v>
      </c>
      <c r="F83" s="20" t="s">
        <v>535</v>
      </c>
      <c r="G83" s="20" t="s">
        <v>536</v>
      </c>
      <c r="H83" s="40">
        <v>139.33333333333334</v>
      </c>
      <c r="I83" s="40">
        <v>-30.333333333333332</v>
      </c>
      <c r="J83" s="20" t="s">
        <v>537</v>
      </c>
      <c r="K83" s="27" t="s">
        <v>495</v>
      </c>
      <c r="L83" s="26">
        <v>-5540</v>
      </c>
      <c r="M83" s="23" t="s">
        <v>308</v>
      </c>
      <c r="N83" s="24">
        <v>110</v>
      </c>
      <c r="O83" s="20" t="s">
        <v>538</v>
      </c>
      <c r="P83" s="20">
        <v>1</v>
      </c>
      <c r="Q83" s="27" t="s">
        <v>316</v>
      </c>
      <c r="R83" s="20" t="s">
        <v>393</v>
      </c>
      <c r="S83" s="20" t="s">
        <v>393</v>
      </c>
      <c r="T83" s="25">
        <v>-27</v>
      </c>
      <c r="W83" s="26" t="s">
        <v>354</v>
      </c>
    </row>
    <row r="84" spans="1:25">
      <c r="A84" s="20" t="s">
        <v>539</v>
      </c>
      <c r="E84" s="21">
        <v>1</v>
      </c>
      <c r="F84" s="20" t="s">
        <v>535</v>
      </c>
      <c r="G84" s="20" t="s">
        <v>536</v>
      </c>
      <c r="H84" s="40">
        <v>139.33333333333334</v>
      </c>
      <c r="I84" s="40">
        <v>-30.333333333333332</v>
      </c>
      <c r="J84" s="20" t="s">
        <v>537</v>
      </c>
      <c r="K84" s="27" t="s">
        <v>495</v>
      </c>
      <c r="L84" s="26">
        <v>-7200</v>
      </c>
      <c r="M84" s="23" t="s">
        <v>308</v>
      </c>
      <c r="N84" s="24">
        <v>220</v>
      </c>
      <c r="O84" s="20" t="s">
        <v>540</v>
      </c>
      <c r="P84" s="20">
        <v>1</v>
      </c>
      <c r="Q84" s="27" t="s">
        <v>316</v>
      </c>
      <c r="R84" s="20" t="s">
        <v>345</v>
      </c>
      <c r="S84" s="20" t="s">
        <v>345</v>
      </c>
      <c r="T84" s="25">
        <v>-25</v>
      </c>
      <c r="W84" s="26" t="s">
        <v>541</v>
      </c>
    </row>
    <row r="85" spans="1:25">
      <c r="A85" s="20" t="s">
        <v>539</v>
      </c>
      <c r="E85" s="21">
        <v>1</v>
      </c>
      <c r="F85" s="20" t="s">
        <v>535</v>
      </c>
      <c r="G85" s="20" t="s">
        <v>536</v>
      </c>
      <c r="H85" s="40">
        <v>139.33333333333334</v>
      </c>
      <c r="I85" s="40">
        <v>-30.333333333333332</v>
      </c>
      <c r="J85" s="20" t="s">
        <v>537</v>
      </c>
      <c r="K85" s="27" t="s">
        <v>495</v>
      </c>
      <c r="L85" s="26">
        <v>-6472</v>
      </c>
      <c r="M85" s="23" t="s">
        <v>308</v>
      </c>
      <c r="N85" s="24">
        <v>163</v>
      </c>
      <c r="O85" s="20" t="s">
        <v>542</v>
      </c>
      <c r="P85" s="20">
        <v>1</v>
      </c>
      <c r="Q85" s="27" t="s">
        <v>316</v>
      </c>
      <c r="R85" s="20" t="s">
        <v>393</v>
      </c>
      <c r="S85" s="20" t="s">
        <v>393</v>
      </c>
      <c r="T85" s="25">
        <v>-27</v>
      </c>
      <c r="W85" s="26" t="s">
        <v>354</v>
      </c>
    </row>
    <row r="86" spans="1:25">
      <c r="A86" s="20" t="s">
        <v>543</v>
      </c>
      <c r="E86" s="21">
        <v>1</v>
      </c>
      <c r="F86" s="20" t="s">
        <v>535</v>
      </c>
      <c r="G86" s="20" t="s">
        <v>536</v>
      </c>
      <c r="H86" s="40">
        <v>139.33333333333334</v>
      </c>
      <c r="I86" s="40">
        <v>-30.333333333333332</v>
      </c>
      <c r="J86" s="20" t="s">
        <v>544</v>
      </c>
      <c r="K86" s="27" t="s">
        <v>495</v>
      </c>
      <c r="L86" s="26">
        <v>-10550</v>
      </c>
      <c r="M86" s="23" t="s">
        <v>308</v>
      </c>
      <c r="N86" s="24">
        <v>460</v>
      </c>
      <c r="O86" s="20" t="s">
        <v>545</v>
      </c>
      <c r="P86" s="20">
        <v>1</v>
      </c>
      <c r="Q86" s="27" t="s">
        <v>316</v>
      </c>
      <c r="R86" s="20" t="s">
        <v>361</v>
      </c>
      <c r="S86" s="20" t="s">
        <v>361</v>
      </c>
      <c r="T86" s="25">
        <v>-24</v>
      </c>
      <c r="W86" s="26" t="s">
        <v>541</v>
      </c>
    </row>
    <row r="87" spans="1:25">
      <c r="A87" s="31" t="s">
        <v>546</v>
      </c>
      <c r="B87" s="31"/>
      <c r="C87" s="31"/>
      <c r="D87" s="31"/>
      <c r="E87" s="32">
        <v>1</v>
      </c>
      <c r="F87" s="31" t="s">
        <v>535</v>
      </c>
      <c r="G87" s="31" t="s">
        <v>536</v>
      </c>
      <c r="H87" s="40">
        <v>139.33333333333334</v>
      </c>
      <c r="I87" s="40">
        <v>-30.333333333333332</v>
      </c>
      <c r="J87" s="31" t="s">
        <v>544</v>
      </c>
      <c r="K87" s="33" t="s">
        <v>495</v>
      </c>
      <c r="L87" s="34">
        <v>-11950</v>
      </c>
      <c r="M87" s="35" t="s">
        <v>308</v>
      </c>
      <c r="N87" s="36">
        <v>320</v>
      </c>
      <c r="O87" s="31" t="s">
        <v>547</v>
      </c>
      <c r="P87" s="31">
        <v>1</v>
      </c>
      <c r="Q87" s="33" t="s">
        <v>316</v>
      </c>
      <c r="R87" s="31" t="s">
        <v>548</v>
      </c>
      <c r="S87" s="31" t="s">
        <v>548</v>
      </c>
      <c r="T87" s="37">
        <v>-25</v>
      </c>
      <c r="U87" s="31"/>
      <c r="V87" s="31"/>
      <c r="W87" s="34" t="s">
        <v>541</v>
      </c>
      <c r="Y87" s="20" t="s">
        <v>549</v>
      </c>
    </row>
    <row r="88" spans="1:25">
      <c r="A88" s="20" t="s">
        <v>550</v>
      </c>
      <c r="E88" s="21">
        <v>1</v>
      </c>
      <c r="F88" s="20" t="s">
        <v>535</v>
      </c>
      <c r="G88" s="20" t="s">
        <v>536</v>
      </c>
      <c r="H88" s="40">
        <v>139.33333333333334</v>
      </c>
      <c r="I88" s="40">
        <v>-30.333333333333332</v>
      </c>
      <c r="J88" s="20" t="s">
        <v>544</v>
      </c>
      <c r="K88" s="27" t="s">
        <v>495</v>
      </c>
      <c r="L88" s="26">
        <v>-10850</v>
      </c>
      <c r="M88" s="23" t="s">
        <v>308</v>
      </c>
      <c r="N88" s="24">
        <v>460</v>
      </c>
      <c r="Q88" s="20" t="s">
        <v>333</v>
      </c>
      <c r="R88" s="20" t="s">
        <v>333</v>
      </c>
      <c r="S88" s="20" t="s">
        <v>333</v>
      </c>
    </row>
    <row r="89" spans="1:25">
      <c r="A89" s="20" t="s">
        <v>550</v>
      </c>
      <c r="E89" s="21">
        <v>1</v>
      </c>
      <c r="F89" s="20" t="s">
        <v>535</v>
      </c>
      <c r="G89" s="20" t="s">
        <v>536</v>
      </c>
      <c r="H89" s="40">
        <v>139.33333333333334</v>
      </c>
      <c r="I89" s="40">
        <v>-30.333333333333332</v>
      </c>
      <c r="J89" s="20" t="s">
        <v>544</v>
      </c>
      <c r="K89" s="27" t="s">
        <v>495</v>
      </c>
      <c r="L89" s="26">
        <v>-9473</v>
      </c>
      <c r="M89" s="23" t="s">
        <v>308</v>
      </c>
      <c r="N89" s="24">
        <v>319</v>
      </c>
      <c r="O89" s="27" t="s">
        <v>551</v>
      </c>
      <c r="P89" s="27">
        <v>1</v>
      </c>
      <c r="Q89" s="27" t="s">
        <v>316</v>
      </c>
      <c r="R89" s="20" t="s">
        <v>445</v>
      </c>
      <c r="S89" s="20" t="s">
        <v>445</v>
      </c>
      <c r="T89" s="38">
        <v>-25</v>
      </c>
      <c r="W89" s="26" t="s">
        <v>541</v>
      </c>
    </row>
    <row r="90" spans="1:25">
      <c r="A90" s="20" t="s">
        <v>552</v>
      </c>
      <c r="B90" s="20">
        <v>1996</v>
      </c>
      <c r="C90" s="20" t="s">
        <v>553</v>
      </c>
      <c r="E90" s="21">
        <v>1</v>
      </c>
      <c r="F90" s="20" t="s">
        <v>535</v>
      </c>
      <c r="G90" s="20" t="s">
        <v>536</v>
      </c>
      <c r="H90" s="40">
        <v>139.33333333333334</v>
      </c>
      <c r="I90" s="40">
        <v>-30.333333333333332</v>
      </c>
      <c r="J90" s="20" t="s">
        <v>554</v>
      </c>
      <c r="K90" s="27" t="s">
        <v>495</v>
      </c>
      <c r="L90" s="26">
        <v>-1000</v>
      </c>
      <c r="M90" s="23" t="s">
        <v>308</v>
      </c>
      <c r="N90" s="24">
        <v>70</v>
      </c>
      <c r="O90" s="20" t="s">
        <v>555</v>
      </c>
      <c r="Q90" s="20" t="s">
        <v>333</v>
      </c>
      <c r="R90" s="20" t="s">
        <v>361</v>
      </c>
      <c r="S90" s="20" t="s">
        <v>361</v>
      </c>
      <c r="T90" s="38">
        <v>-25</v>
      </c>
      <c r="W90" s="26" t="s">
        <v>354</v>
      </c>
    </row>
    <row r="91" spans="1:25">
      <c r="A91" s="20" t="s">
        <v>556</v>
      </c>
      <c r="B91" s="20">
        <v>1996</v>
      </c>
      <c r="C91" s="20" t="s">
        <v>553</v>
      </c>
      <c r="E91" s="21">
        <v>1</v>
      </c>
      <c r="F91" s="20" t="s">
        <v>535</v>
      </c>
      <c r="G91" s="20" t="s">
        <v>536</v>
      </c>
      <c r="H91" s="40">
        <v>139.33333333333334</v>
      </c>
      <c r="I91" s="40">
        <v>-30.333333333333332</v>
      </c>
      <c r="J91" s="20" t="s">
        <v>537</v>
      </c>
      <c r="K91" s="27" t="s">
        <v>495</v>
      </c>
      <c r="L91" s="26">
        <v>-1920</v>
      </c>
      <c r="M91" s="23" t="s">
        <v>308</v>
      </c>
      <c r="N91" s="24">
        <v>110</v>
      </c>
      <c r="O91" s="20" t="s">
        <v>557</v>
      </c>
      <c r="Q91" s="27" t="s">
        <v>302</v>
      </c>
      <c r="R91" s="20" t="s">
        <v>361</v>
      </c>
      <c r="S91" s="20" t="s">
        <v>361</v>
      </c>
      <c r="T91" s="38">
        <v>-24</v>
      </c>
      <c r="W91" s="26" t="s">
        <v>354</v>
      </c>
    </row>
    <row r="92" spans="1:25">
      <c r="A92" s="20" t="s">
        <v>558</v>
      </c>
      <c r="B92" s="20">
        <v>1996</v>
      </c>
      <c r="C92" s="20" t="s">
        <v>553</v>
      </c>
      <c r="E92" s="21">
        <v>1</v>
      </c>
      <c r="F92" s="20" t="s">
        <v>535</v>
      </c>
      <c r="G92" s="20" t="s">
        <v>536</v>
      </c>
      <c r="H92" s="40">
        <v>139.33333333333334</v>
      </c>
      <c r="I92" s="40">
        <v>-30.333333333333332</v>
      </c>
      <c r="J92" s="20" t="s">
        <v>537</v>
      </c>
      <c r="K92" s="27" t="s">
        <v>495</v>
      </c>
      <c r="L92" s="26">
        <v>-6380</v>
      </c>
      <c r="M92" s="23" t="s">
        <v>308</v>
      </c>
      <c r="N92" s="24">
        <v>70</v>
      </c>
      <c r="O92" s="20" t="s">
        <v>559</v>
      </c>
      <c r="Q92" s="27" t="s">
        <v>302</v>
      </c>
      <c r="R92" s="20" t="s">
        <v>361</v>
      </c>
      <c r="S92" s="20" t="s">
        <v>361</v>
      </c>
      <c r="T92" s="38">
        <v>-12</v>
      </c>
      <c r="W92" s="26" t="s">
        <v>354</v>
      </c>
    </row>
    <row r="93" spans="1:25">
      <c r="A93" s="20" t="s">
        <v>560</v>
      </c>
      <c r="B93" s="20">
        <v>1996</v>
      </c>
      <c r="C93" s="20" t="s">
        <v>553</v>
      </c>
      <c r="E93" s="21">
        <v>1</v>
      </c>
      <c r="F93" s="20" t="s">
        <v>535</v>
      </c>
      <c r="G93" s="20" t="s">
        <v>536</v>
      </c>
      <c r="H93" s="40">
        <v>139.33333333333334</v>
      </c>
      <c r="I93" s="40">
        <v>-30.333333333333332</v>
      </c>
      <c r="J93" s="20" t="s">
        <v>537</v>
      </c>
      <c r="K93" s="27" t="s">
        <v>495</v>
      </c>
      <c r="L93" s="26">
        <v>-8820</v>
      </c>
      <c r="M93" s="23" t="s">
        <v>308</v>
      </c>
      <c r="N93" s="24">
        <v>150</v>
      </c>
      <c r="O93" s="20" t="s">
        <v>561</v>
      </c>
      <c r="Q93" s="27" t="s">
        <v>302</v>
      </c>
      <c r="R93" s="20" t="s">
        <v>361</v>
      </c>
      <c r="S93" s="20" t="s">
        <v>361</v>
      </c>
      <c r="T93" s="38">
        <v>-24</v>
      </c>
      <c r="W93" s="26" t="s">
        <v>354</v>
      </c>
    </row>
    <row r="94" spans="1:25">
      <c r="A94" s="20" t="s">
        <v>562</v>
      </c>
      <c r="B94" s="20">
        <v>1996</v>
      </c>
      <c r="C94" s="20" t="s">
        <v>553</v>
      </c>
      <c r="E94" s="21">
        <v>1</v>
      </c>
      <c r="F94" s="20" t="s">
        <v>535</v>
      </c>
      <c r="G94" s="20" t="s">
        <v>536</v>
      </c>
      <c r="H94" s="40">
        <v>139.33333333333334</v>
      </c>
      <c r="I94" s="40">
        <v>-30.333333333333332</v>
      </c>
      <c r="K94" s="27" t="s">
        <v>495</v>
      </c>
      <c r="L94" s="26">
        <v>-1300</v>
      </c>
      <c r="M94" s="23" t="s">
        <v>308</v>
      </c>
      <c r="N94" s="24">
        <v>80</v>
      </c>
      <c r="O94" s="20" t="s">
        <v>563</v>
      </c>
      <c r="Q94" s="27" t="s">
        <v>302</v>
      </c>
      <c r="R94" s="20" t="s">
        <v>361</v>
      </c>
      <c r="S94" s="20" t="s">
        <v>361</v>
      </c>
      <c r="T94" s="38">
        <v>-27</v>
      </c>
      <c r="W94" s="26" t="s">
        <v>354</v>
      </c>
    </row>
    <row r="95" spans="1:25">
      <c r="A95" s="20" t="s">
        <v>564</v>
      </c>
      <c r="B95" s="20">
        <v>1996</v>
      </c>
      <c r="C95" s="20" t="s">
        <v>553</v>
      </c>
      <c r="E95" s="21">
        <v>1</v>
      </c>
      <c r="F95" s="20" t="s">
        <v>535</v>
      </c>
      <c r="G95" s="20" t="s">
        <v>536</v>
      </c>
      <c r="H95" s="40">
        <v>139.33333333333334</v>
      </c>
      <c r="I95" s="40">
        <v>-30.333333333333332</v>
      </c>
      <c r="K95" s="27" t="s">
        <v>495</v>
      </c>
      <c r="L95" s="26">
        <v>-630</v>
      </c>
      <c r="M95" s="23" t="s">
        <v>308</v>
      </c>
      <c r="N95" s="24">
        <v>100</v>
      </c>
      <c r="O95" s="20" t="s">
        <v>565</v>
      </c>
      <c r="Q95" s="20" t="s">
        <v>333</v>
      </c>
      <c r="R95" s="20" t="s">
        <v>361</v>
      </c>
      <c r="S95" s="20" t="s">
        <v>361</v>
      </c>
      <c r="T95" s="25">
        <v>-25</v>
      </c>
      <c r="W95" s="26" t="s">
        <v>354</v>
      </c>
    </row>
    <row r="96" spans="1:25">
      <c r="A96" s="20" t="s">
        <v>566</v>
      </c>
      <c r="B96" s="20">
        <v>1993</v>
      </c>
      <c r="C96" s="20" t="s">
        <v>338</v>
      </c>
      <c r="E96" s="21" t="s">
        <v>339</v>
      </c>
      <c r="F96" s="20" t="s">
        <v>567</v>
      </c>
      <c r="G96" s="20" t="s">
        <v>341</v>
      </c>
      <c r="H96" s="20">
        <v>119.66666666666667</v>
      </c>
      <c r="I96" s="20">
        <v>-30.5</v>
      </c>
      <c r="J96" s="20" t="s">
        <v>342</v>
      </c>
      <c r="K96" s="27" t="s">
        <v>343</v>
      </c>
      <c r="L96" s="26">
        <v>-1480</v>
      </c>
      <c r="M96" s="23" t="s">
        <v>308</v>
      </c>
      <c r="N96" s="24">
        <v>140</v>
      </c>
      <c r="O96" s="20" t="s">
        <v>568</v>
      </c>
      <c r="Q96" s="27" t="s">
        <v>302</v>
      </c>
      <c r="R96" s="20" t="s">
        <v>361</v>
      </c>
      <c r="S96" s="20" t="s">
        <v>361</v>
      </c>
      <c r="T96" s="25">
        <v>-25</v>
      </c>
      <c r="W96" s="26" t="s">
        <v>354</v>
      </c>
    </row>
    <row r="97" spans="1:24">
      <c r="A97" s="20" t="s">
        <v>569</v>
      </c>
      <c r="B97" s="20">
        <v>1996</v>
      </c>
      <c r="C97" s="20" t="s">
        <v>570</v>
      </c>
      <c r="E97" s="21">
        <v>3</v>
      </c>
      <c r="F97" s="20" t="s">
        <v>571</v>
      </c>
      <c r="G97" s="20" t="s">
        <v>572</v>
      </c>
      <c r="H97" s="40">
        <v>142.6</v>
      </c>
      <c r="I97" s="40">
        <v>-30.866666666666667</v>
      </c>
      <c r="J97" s="20" t="s">
        <v>573</v>
      </c>
      <c r="K97" s="27" t="s">
        <v>495</v>
      </c>
      <c r="L97" s="22">
        <v>-780</v>
      </c>
      <c r="M97" s="23" t="s">
        <v>308</v>
      </c>
      <c r="N97" s="24">
        <v>80</v>
      </c>
      <c r="O97" s="20" t="s">
        <v>574</v>
      </c>
      <c r="Q97" s="20" t="s">
        <v>302</v>
      </c>
      <c r="R97" s="20" t="s">
        <v>575</v>
      </c>
      <c r="S97" s="20" t="s">
        <v>575</v>
      </c>
    </row>
    <row r="98" spans="1:24">
      <c r="A98" s="20" t="s">
        <v>576</v>
      </c>
      <c r="B98" s="20">
        <v>1996</v>
      </c>
      <c r="C98" s="20" t="s">
        <v>570</v>
      </c>
      <c r="E98" s="21">
        <v>3</v>
      </c>
      <c r="F98" s="20" t="s">
        <v>571</v>
      </c>
      <c r="G98" s="20" t="s">
        <v>572</v>
      </c>
      <c r="H98" s="40">
        <v>142.6</v>
      </c>
      <c r="I98" s="40">
        <v>-30.866666666666667</v>
      </c>
      <c r="J98" s="20" t="s">
        <v>573</v>
      </c>
      <c r="K98" s="27" t="s">
        <v>495</v>
      </c>
      <c r="L98" s="22">
        <v>-380</v>
      </c>
      <c r="M98" s="23" t="s">
        <v>308</v>
      </c>
      <c r="N98" s="24">
        <v>60</v>
      </c>
      <c r="O98" s="20" t="s">
        <v>577</v>
      </c>
      <c r="Q98" s="20" t="s">
        <v>302</v>
      </c>
      <c r="R98" s="20" t="s">
        <v>400</v>
      </c>
      <c r="S98" s="20" t="s">
        <v>400</v>
      </c>
      <c r="W98" s="26" t="s">
        <v>354</v>
      </c>
    </row>
    <row r="99" spans="1:24">
      <c r="A99" s="20" t="s">
        <v>578</v>
      </c>
      <c r="E99" s="21">
        <v>1</v>
      </c>
      <c r="F99" s="20" t="s">
        <v>579</v>
      </c>
      <c r="G99" s="20" t="s">
        <v>580</v>
      </c>
      <c r="H99" s="40">
        <v>139.33333333333334</v>
      </c>
      <c r="I99" s="40">
        <v>-30.966666666666665</v>
      </c>
      <c r="J99" s="20" t="s">
        <v>581</v>
      </c>
      <c r="K99" s="20" t="s">
        <v>495</v>
      </c>
      <c r="L99" s="22">
        <v>-470</v>
      </c>
      <c r="M99" s="23" t="s">
        <v>308</v>
      </c>
      <c r="N99" s="24">
        <v>130</v>
      </c>
      <c r="O99" s="20" t="s">
        <v>582</v>
      </c>
      <c r="P99" s="20">
        <v>1</v>
      </c>
      <c r="Q99" s="20" t="s">
        <v>316</v>
      </c>
      <c r="R99" s="20" t="s">
        <v>345</v>
      </c>
      <c r="S99" s="20" t="s">
        <v>345</v>
      </c>
    </row>
    <row r="100" spans="1:24">
      <c r="A100" s="20" t="s">
        <v>583</v>
      </c>
      <c r="E100" s="21">
        <v>1</v>
      </c>
      <c r="F100" s="20" t="s">
        <v>579</v>
      </c>
      <c r="G100" s="20" t="s">
        <v>580</v>
      </c>
      <c r="H100" s="40">
        <v>139.33333333333334</v>
      </c>
      <c r="I100" s="40">
        <v>-30.966666666666665</v>
      </c>
      <c r="J100" s="20" t="s">
        <v>581</v>
      </c>
      <c r="K100" s="20" t="s">
        <v>495</v>
      </c>
      <c r="L100" s="22">
        <v>-1280</v>
      </c>
      <c r="M100" s="23" t="s">
        <v>308</v>
      </c>
      <c r="N100" s="24">
        <v>70</v>
      </c>
      <c r="O100" s="20" t="s">
        <v>584</v>
      </c>
      <c r="P100" s="20">
        <v>1</v>
      </c>
      <c r="Q100" s="20" t="s">
        <v>316</v>
      </c>
      <c r="R100" s="20" t="s">
        <v>345</v>
      </c>
      <c r="S100" s="20" t="s">
        <v>345</v>
      </c>
    </row>
    <row r="101" spans="1:24">
      <c r="A101" s="20" t="s">
        <v>585</v>
      </c>
      <c r="E101" s="21">
        <v>1</v>
      </c>
      <c r="F101" s="20" t="s">
        <v>579</v>
      </c>
      <c r="G101" s="20" t="s">
        <v>580</v>
      </c>
      <c r="H101" s="40">
        <v>139.33333333333334</v>
      </c>
      <c r="I101" s="40">
        <v>-30.966666666666665</v>
      </c>
      <c r="J101" s="20" t="s">
        <v>581</v>
      </c>
      <c r="K101" s="20" t="s">
        <v>495</v>
      </c>
      <c r="L101" s="22">
        <v>-410</v>
      </c>
      <c r="M101" s="23" t="s">
        <v>308</v>
      </c>
      <c r="N101" s="24">
        <v>65</v>
      </c>
      <c r="O101" s="20" t="s">
        <v>586</v>
      </c>
      <c r="P101" s="20">
        <v>1</v>
      </c>
      <c r="Q101" s="20" t="s">
        <v>316</v>
      </c>
      <c r="R101" s="20" t="s">
        <v>345</v>
      </c>
      <c r="S101" s="20" t="s">
        <v>345</v>
      </c>
      <c r="W101" s="26" t="s">
        <v>334</v>
      </c>
    </row>
    <row r="102" spans="1:24">
      <c r="A102" s="20" t="s">
        <v>587</v>
      </c>
      <c r="E102" s="21">
        <v>1</v>
      </c>
      <c r="F102" s="20" t="s">
        <v>579</v>
      </c>
      <c r="G102" s="20" t="s">
        <v>580</v>
      </c>
      <c r="H102" s="40">
        <v>139.33333333333334</v>
      </c>
      <c r="I102" s="40">
        <v>-30.966666666666665</v>
      </c>
      <c r="J102" s="20" t="s">
        <v>581</v>
      </c>
      <c r="K102" s="20" t="s">
        <v>495</v>
      </c>
      <c r="L102" s="22">
        <v>-590</v>
      </c>
      <c r="M102" s="23" t="s">
        <v>308</v>
      </c>
      <c r="N102" s="24">
        <v>50</v>
      </c>
      <c r="O102" s="20" t="s">
        <v>588</v>
      </c>
      <c r="P102" s="20">
        <v>1</v>
      </c>
      <c r="Q102" s="20" t="s">
        <v>316</v>
      </c>
      <c r="R102" s="20" t="s">
        <v>393</v>
      </c>
      <c r="S102" s="20" t="s">
        <v>393</v>
      </c>
    </row>
    <row r="103" spans="1:24">
      <c r="A103" s="20" t="s">
        <v>589</v>
      </c>
      <c r="E103" s="21">
        <v>1</v>
      </c>
      <c r="F103" s="20" t="s">
        <v>579</v>
      </c>
      <c r="G103" s="20" t="s">
        <v>580</v>
      </c>
      <c r="H103" s="40">
        <v>139.33333333333334</v>
      </c>
      <c r="I103" s="40">
        <v>-30.966666666666665</v>
      </c>
      <c r="J103" s="20" t="s">
        <v>581</v>
      </c>
      <c r="K103" s="20" t="s">
        <v>495</v>
      </c>
      <c r="L103" s="22">
        <v>-385</v>
      </c>
      <c r="M103" s="23" t="s">
        <v>308</v>
      </c>
      <c r="N103" s="24">
        <v>140</v>
      </c>
      <c r="O103" s="20" t="s">
        <v>590</v>
      </c>
      <c r="P103" s="20">
        <v>1</v>
      </c>
      <c r="Q103" s="20" t="s">
        <v>316</v>
      </c>
      <c r="R103" s="20" t="s">
        <v>393</v>
      </c>
      <c r="S103" s="20" t="s">
        <v>393</v>
      </c>
      <c r="W103" s="26" t="s">
        <v>336</v>
      </c>
    </row>
    <row r="104" spans="1:24">
      <c r="A104" s="20" t="s">
        <v>589</v>
      </c>
      <c r="E104" s="21">
        <v>1</v>
      </c>
      <c r="F104" s="20" t="s">
        <v>579</v>
      </c>
      <c r="G104" s="20" t="s">
        <v>580</v>
      </c>
      <c r="H104" s="40">
        <v>139.33333333333334</v>
      </c>
      <c r="I104" s="40">
        <v>-30.966666666666665</v>
      </c>
      <c r="J104" s="20" t="s">
        <v>581</v>
      </c>
      <c r="K104" s="20" t="s">
        <v>495</v>
      </c>
      <c r="L104" s="22">
        <v>-230</v>
      </c>
      <c r="M104" s="23" t="s">
        <v>308</v>
      </c>
      <c r="N104" s="24">
        <v>105</v>
      </c>
      <c r="O104" s="20" t="s">
        <v>591</v>
      </c>
      <c r="P104" s="20">
        <v>1</v>
      </c>
      <c r="Q104" s="20" t="s">
        <v>316</v>
      </c>
      <c r="R104" s="20" t="s">
        <v>345</v>
      </c>
      <c r="S104" s="20" t="s">
        <v>345</v>
      </c>
      <c r="W104" s="26" t="s">
        <v>336</v>
      </c>
    </row>
    <row r="105" spans="1:24">
      <c r="A105" s="20" t="s">
        <v>592</v>
      </c>
      <c r="E105" s="21">
        <v>1</v>
      </c>
      <c r="F105" s="20" t="s">
        <v>579</v>
      </c>
      <c r="G105" s="20" t="s">
        <v>580</v>
      </c>
      <c r="H105" s="40">
        <v>139.33333333333334</v>
      </c>
      <c r="I105" s="40">
        <v>-30.966666666666665</v>
      </c>
      <c r="J105" s="20" t="s">
        <v>581</v>
      </c>
      <c r="K105" s="20" t="s">
        <v>495</v>
      </c>
      <c r="L105" s="22">
        <v>-7260</v>
      </c>
      <c r="M105" s="23" t="s">
        <v>308</v>
      </c>
      <c r="N105" s="24">
        <v>100</v>
      </c>
      <c r="O105" s="20" t="s">
        <v>593</v>
      </c>
      <c r="P105" s="20">
        <v>1</v>
      </c>
      <c r="Q105" s="20" t="s">
        <v>316</v>
      </c>
      <c r="R105" s="20" t="s">
        <v>345</v>
      </c>
      <c r="S105" s="20" t="s">
        <v>345</v>
      </c>
    </row>
    <row r="106" spans="1:24">
      <c r="A106" s="20" t="s">
        <v>594</v>
      </c>
      <c r="B106" s="20">
        <v>1996</v>
      </c>
      <c r="C106" s="20" t="s">
        <v>553</v>
      </c>
      <c r="E106" s="21">
        <v>1</v>
      </c>
      <c r="F106" s="20" t="s">
        <v>595</v>
      </c>
      <c r="G106" s="27" t="s">
        <v>596</v>
      </c>
      <c r="H106" s="40">
        <v>139.33333333333334</v>
      </c>
      <c r="I106" s="40">
        <v>-30.966666666666665</v>
      </c>
      <c r="J106" s="24" t="s">
        <v>544</v>
      </c>
      <c r="K106" s="27" t="s">
        <v>495</v>
      </c>
      <c r="L106" s="26">
        <v>-9420</v>
      </c>
      <c r="M106" s="23" t="s">
        <v>308</v>
      </c>
      <c r="N106" s="24">
        <v>80</v>
      </c>
      <c r="O106" s="20" t="s">
        <v>597</v>
      </c>
      <c r="Q106" s="27" t="s">
        <v>302</v>
      </c>
      <c r="R106" s="20" t="s">
        <v>598</v>
      </c>
      <c r="S106" s="20" t="s">
        <v>361</v>
      </c>
      <c r="T106" s="38">
        <v>-20</v>
      </c>
      <c r="W106" s="26" t="s">
        <v>541</v>
      </c>
    </row>
    <row r="107" spans="1:24">
      <c r="A107" s="20" t="s">
        <v>594</v>
      </c>
      <c r="E107" s="21">
        <v>1</v>
      </c>
      <c r="F107" s="20" t="s">
        <v>595</v>
      </c>
      <c r="G107" s="27" t="s">
        <v>596</v>
      </c>
      <c r="H107" s="40">
        <v>139.33333333333334</v>
      </c>
      <c r="I107" s="40">
        <v>-30.966666666666665</v>
      </c>
      <c r="J107" s="24" t="s">
        <v>544</v>
      </c>
      <c r="K107" s="27" t="s">
        <v>495</v>
      </c>
      <c r="L107" s="26">
        <v>-10630</v>
      </c>
      <c r="M107" s="23" t="s">
        <v>308</v>
      </c>
      <c r="N107" s="24">
        <v>100</v>
      </c>
      <c r="O107" s="20" t="s">
        <v>599</v>
      </c>
      <c r="Q107" s="27" t="s">
        <v>302</v>
      </c>
      <c r="R107" s="20" t="s">
        <v>400</v>
      </c>
      <c r="S107" s="20" t="s">
        <v>400</v>
      </c>
      <c r="T107" s="38">
        <v>-24</v>
      </c>
      <c r="W107" s="26" t="s">
        <v>334</v>
      </c>
    </row>
    <row r="108" spans="1:24">
      <c r="A108" s="27" t="s">
        <v>600</v>
      </c>
      <c r="B108" s="27"/>
      <c r="C108" s="27"/>
      <c r="D108" s="27"/>
      <c r="E108" s="30">
        <v>1</v>
      </c>
      <c r="F108" s="20" t="s">
        <v>595</v>
      </c>
      <c r="G108" s="27" t="s">
        <v>596</v>
      </c>
      <c r="H108" s="40">
        <v>139.33333333333334</v>
      </c>
      <c r="I108" s="40">
        <v>-30.966666666666665</v>
      </c>
      <c r="J108" s="20" t="s">
        <v>544</v>
      </c>
      <c r="K108" s="27" t="s">
        <v>495</v>
      </c>
      <c r="L108" s="22">
        <v>-10900</v>
      </c>
      <c r="M108" s="23" t="s">
        <v>308</v>
      </c>
      <c r="N108" s="24">
        <v>90</v>
      </c>
      <c r="O108" s="20" t="s">
        <v>601</v>
      </c>
      <c r="P108" s="20">
        <v>1</v>
      </c>
      <c r="Q108" s="27" t="s">
        <v>316</v>
      </c>
      <c r="R108" s="20" t="s">
        <v>548</v>
      </c>
      <c r="S108" s="20" t="s">
        <v>548</v>
      </c>
      <c r="T108" s="25">
        <v>-25</v>
      </c>
    </row>
    <row r="109" spans="1:24">
      <c r="A109" s="20" t="s">
        <v>602</v>
      </c>
      <c r="B109" s="20">
        <v>1996</v>
      </c>
      <c r="C109" s="20" t="s">
        <v>553</v>
      </c>
      <c r="E109" s="21">
        <v>1</v>
      </c>
      <c r="F109" s="20" t="s">
        <v>595</v>
      </c>
      <c r="G109" s="27" t="s">
        <v>596</v>
      </c>
      <c r="H109" s="40">
        <v>139.33333333333334</v>
      </c>
      <c r="I109" s="40">
        <v>-30.966666666666665</v>
      </c>
      <c r="J109" s="24" t="s">
        <v>544</v>
      </c>
      <c r="K109" s="27" t="s">
        <v>495</v>
      </c>
      <c r="L109" s="26">
        <v>-10870</v>
      </c>
      <c r="M109" s="23" t="s">
        <v>308</v>
      </c>
      <c r="N109" s="24">
        <v>80</v>
      </c>
      <c r="O109" s="27" t="s">
        <v>603</v>
      </c>
      <c r="P109" s="27"/>
      <c r="Q109" s="27" t="s">
        <v>302</v>
      </c>
      <c r="R109" s="27" t="s">
        <v>598</v>
      </c>
      <c r="S109" s="20" t="s">
        <v>361</v>
      </c>
      <c r="T109" s="38">
        <v>-20</v>
      </c>
      <c r="W109" s="26" t="s">
        <v>378</v>
      </c>
    </row>
    <row r="110" spans="1:24">
      <c r="A110" s="20" t="s">
        <v>602</v>
      </c>
      <c r="B110" s="20">
        <v>1996</v>
      </c>
      <c r="C110" s="20" t="s">
        <v>553</v>
      </c>
      <c r="E110" s="21">
        <v>1</v>
      </c>
      <c r="F110" s="20" t="s">
        <v>595</v>
      </c>
      <c r="G110" s="27" t="s">
        <v>596</v>
      </c>
      <c r="H110" s="40">
        <v>139.33333333333334</v>
      </c>
      <c r="I110" s="40">
        <v>-30.966666666666665</v>
      </c>
      <c r="J110" s="24" t="s">
        <v>544</v>
      </c>
      <c r="K110" s="27" t="s">
        <v>495</v>
      </c>
      <c r="L110" s="26">
        <v>-9060</v>
      </c>
      <c r="M110" s="23" t="s">
        <v>308</v>
      </c>
      <c r="N110" s="24">
        <v>70</v>
      </c>
      <c r="O110" s="20" t="s">
        <v>604</v>
      </c>
      <c r="Q110" s="27" t="s">
        <v>302</v>
      </c>
      <c r="R110" s="20" t="s">
        <v>400</v>
      </c>
      <c r="S110" s="20" t="s">
        <v>400</v>
      </c>
      <c r="T110" s="38">
        <v>-27</v>
      </c>
      <c r="W110" s="26" t="s">
        <v>334</v>
      </c>
      <c r="X110" s="27"/>
    </row>
    <row r="111" spans="1:24">
      <c r="A111" s="20" t="s">
        <v>605</v>
      </c>
      <c r="B111" s="20">
        <v>1996</v>
      </c>
      <c r="C111" s="20" t="s">
        <v>553</v>
      </c>
      <c r="E111" s="21">
        <v>1</v>
      </c>
      <c r="F111" s="20" t="s">
        <v>595</v>
      </c>
      <c r="G111" s="27" t="s">
        <v>596</v>
      </c>
      <c r="H111" s="40">
        <v>139.33333333333334</v>
      </c>
      <c r="I111" s="40">
        <v>-30.966666666666665</v>
      </c>
      <c r="J111" s="20" t="s">
        <v>606</v>
      </c>
      <c r="K111" s="27" t="s">
        <v>495</v>
      </c>
      <c r="L111" s="26">
        <v>-5340</v>
      </c>
      <c r="M111" s="23" t="s">
        <v>308</v>
      </c>
      <c r="N111" s="24">
        <v>70</v>
      </c>
      <c r="O111" s="20" t="s">
        <v>607</v>
      </c>
      <c r="Q111" s="27" t="s">
        <v>302</v>
      </c>
      <c r="R111" s="20" t="s">
        <v>361</v>
      </c>
      <c r="S111" s="20" t="s">
        <v>361</v>
      </c>
      <c r="T111" s="38">
        <v>-25</v>
      </c>
      <c r="W111" s="26" t="s">
        <v>354</v>
      </c>
    </row>
    <row r="112" spans="1:24">
      <c r="A112" s="20" t="s">
        <v>608</v>
      </c>
      <c r="B112" s="20">
        <v>1996</v>
      </c>
      <c r="C112" s="20" t="s">
        <v>570</v>
      </c>
      <c r="E112" s="21">
        <v>3</v>
      </c>
      <c r="F112" s="20" t="s">
        <v>609</v>
      </c>
      <c r="G112" s="20" t="s">
        <v>610</v>
      </c>
      <c r="H112" s="40">
        <v>142.56666666666666</v>
      </c>
      <c r="I112" s="40">
        <v>-31.066666666666666</v>
      </c>
      <c r="J112" s="20" t="s">
        <v>611</v>
      </c>
      <c r="K112" s="27" t="s">
        <v>495</v>
      </c>
      <c r="L112" s="22">
        <v>-460</v>
      </c>
      <c r="M112" s="23" t="s">
        <v>308</v>
      </c>
      <c r="N112" s="24">
        <v>90</v>
      </c>
      <c r="O112" s="20" t="s">
        <v>612</v>
      </c>
      <c r="Q112" s="20" t="s">
        <v>302</v>
      </c>
      <c r="R112" s="20" t="s">
        <v>613</v>
      </c>
      <c r="S112" s="20" t="s">
        <v>361</v>
      </c>
      <c r="W112" s="26" t="s">
        <v>336</v>
      </c>
    </row>
    <row r="113" spans="1:23">
      <c r="A113" s="27" t="s">
        <v>614</v>
      </c>
      <c r="B113" s="20">
        <v>1997</v>
      </c>
      <c r="C113" s="20" t="s">
        <v>570</v>
      </c>
      <c r="D113" s="27"/>
      <c r="E113" s="30">
        <v>3</v>
      </c>
      <c r="F113" s="20" t="s">
        <v>609</v>
      </c>
      <c r="G113" s="20" t="s">
        <v>615</v>
      </c>
      <c r="H113" s="40">
        <v>142.56666666666666</v>
      </c>
      <c r="I113" s="40">
        <v>-31.066666666666666</v>
      </c>
      <c r="J113" s="20" t="s">
        <v>611</v>
      </c>
      <c r="K113" s="27" t="s">
        <v>495</v>
      </c>
      <c r="L113" s="26">
        <v>-6360</v>
      </c>
      <c r="M113" s="23" t="s">
        <v>308</v>
      </c>
      <c r="N113" s="24">
        <v>100</v>
      </c>
      <c r="O113" s="20" t="s">
        <v>616</v>
      </c>
      <c r="Q113" s="27" t="s">
        <v>302</v>
      </c>
      <c r="R113" s="20" t="s">
        <v>445</v>
      </c>
      <c r="S113" s="20" t="s">
        <v>445</v>
      </c>
      <c r="W113" s="26" t="s">
        <v>334</v>
      </c>
    </row>
    <row r="114" spans="1:23">
      <c r="A114" s="20" t="s">
        <v>617</v>
      </c>
      <c r="B114" s="20">
        <v>1996</v>
      </c>
      <c r="C114" s="20" t="s">
        <v>570</v>
      </c>
      <c r="E114" s="21">
        <v>3</v>
      </c>
      <c r="F114" s="20" t="s">
        <v>609</v>
      </c>
      <c r="G114" s="20" t="s">
        <v>615</v>
      </c>
      <c r="H114" s="40">
        <v>142.56666666666666</v>
      </c>
      <c r="I114" s="40">
        <v>-31.066666666666666</v>
      </c>
      <c r="J114" s="20" t="s">
        <v>611</v>
      </c>
      <c r="K114" s="20" t="s">
        <v>495</v>
      </c>
      <c r="L114" s="22">
        <v>-5710</v>
      </c>
      <c r="M114" s="23" t="s">
        <v>308</v>
      </c>
      <c r="N114" s="24">
        <v>90</v>
      </c>
      <c r="O114" s="20" t="s">
        <v>618</v>
      </c>
      <c r="Q114" s="20" t="s">
        <v>302</v>
      </c>
      <c r="R114" s="20" t="s">
        <v>619</v>
      </c>
      <c r="S114" s="20" t="s">
        <v>361</v>
      </c>
    </row>
    <row r="115" spans="1:23">
      <c r="A115" s="20" t="s">
        <v>620</v>
      </c>
      <c r="B115" s="20">
        <v>1996</v>
      </c>
      <c r="C115" s="20" t="s">
        <v>570</v>
      </c>
      <c r="E115" s="21">
        <v>3</v>
      </c>
      <c r="F115" s="20" t="s">
        <v>609</v>
      </c>
      <c r="G115" s="20" t="s">
        <v>615</v>
      </c>
      <c r="H115" s="40">
        <v>142.56666666666666</v>
      </c>
      <c r="I115" s="40">
        <v>-31.066666666666666</v>
      </c>
      <c r="J115" s="20" t="s">
        <v>611</v>
      </c>
      <c r="K115" s="27" t="s">
        <v>495</v>
      </c>
      <c r="L115" s="22">
        <v>-5240</v>
      </c>
      <c r="M115" s="23" t="s">
        <v>308</v>
      </c>
      <c r="N115" s="24">
        <v>90</v>
      </c>
      <c r="O115" s="20" t="s">
        <v>621</v>
      </c>
      <c r="Q115" s="20" t="s">
        <v>302</v>
      </c>
      <c r="R115" s="20" t="s">
        <v>619</v>
      </c>
      <c r="S115" s="20" t="s">
        <v>361</v>
      </c>
    </row>
    <row r="116" spans="1:23">
      <c r="A116" s="20" t="s">
        <v>622</v>
      </c>
      <c r="B116" s="20">
        <v>1996</v>
      </c>
      <c r="C116" s="20" t="s">
        <v>570</v>
      </c>
      <c r="E116" s="21">
        <v>3</v>
      </c>
      <c r="F116" s="20" t="s">
        <v>609</v>
      </c>
      <c r="G116" s="20" t="s">
        <v>615</v>
      </c>
      <c r="H116" s="40">
        <v>142.56666666666666</v>
      </c>
      <c r="I116" s="40">
        <v>-31.066666666666666</v>
      </c>
      <c r="J116" s="20" t="s">
        <v>611</v>
      </c>
      <c r="K116" s="27" t="s">
        <v>495</v>
      </c>
      <c r="L116" s="22">
        <v>-6360</v>
      </c>
      <c r="M116" s="23" t="s">
        <v>308</v>
      </c>
      <c r="N116" s="24">
        <v>100</v>
      </c>
      <c r="O116" s="20" t="s">
        <v>623</v>
      </c>
      <c r="Q116" s="20" t="s">
        <v>302</v>
      </c>
      <c r="R116" s="20" t="s">
        <v>619</v>
      </c>
      <c r="S116" s="20" t="s">
        <v>361</v>
      </c>
    </row>
    <row r="117" spans="1:23">
      <c r="A117" s="20" t="s">
        <v>624</v>
      </c>
      <c r="B117" s="20">
        <v>1996</v>
      </c>
      <c r="C117" s="20" t="s">
        <v>570</v>
      </c>
      <c r="E117" s="21">
        <v>3</v>
      </c>
      <c r="F117" s="20" t="s">
        <v>609</v>
      </c>
      <c r="G117" s="20" t="s">
        <v>615</v>
      </c>
      <c r="H117" s="40">
        <v>142.56666666666666</v>
      </c>
      <c r="I117" s="40">
        <v>-31.066666666666666</v>
      </c>
      <c r="J117" s="20" t="s">
        <v>611</v>
      </c>
      <c r="K117" s="27" t="s">
        <v>495</v>
      </c>
      <c r="L117" s="22">
        <v>-6470</v>
      </c>
      <c r="M117" s="23" t="s">
        <v>308</v>
      </c>
      <c r="N117" s="24">
        <v>60</v>
      </c>
      <c r="O117" s="20" t="s">
        <v>625</v>
      </c>
      <c r="Q117" s="20" t="s">
        <v>316</v>
      </c>
      <c r="R117" s="20" t="s">
        <v>548</v>
      </c>
      <c r="S117" s="20" t="s">
        <v>548</v>
      </c>
    </row>
    <row r="118" spans="1:23">
      <c r="A118" s="20" t="s">
        <v>626</v>
      </c>
      <c r="B118" s="20">
        <v>1996</v>
      </c>
      <c r="C118" s="20" t="s">
        <v>570</v>
      </c>
      <c r="E118" s="21">
        <v>3</v>
      </c>
      <c r="F118" s="20" t="s">
        <v>609</v>
      </c>
      <c r="G118" s="20" t="s">
        <v>615</v>
      </c>
      <c r="H118" s="40">
        <v>142.56666666666666</v>
      </c>
      <c r="I118" s="40">
        <v>-31.066666666666666</v>
      </c>
      <c r="J118" s="20" t="s">
        <v>611</v>
      </c>
      <c r="K118" s="27" t="s">
        <v>495</v>
      </c>
      <c r="L118" s="22">
        <v>-6520</v>
      </c>
      <c r="M118" s="23" t="s">
        <v>308</v>
      </c>
      <c r="N118" s="24">
        <v>50</v>
      </c>
      <c r="O118" s="20" t="s">
        <v>627</v>
      </c>
      <c r="Q118" s="20" t="s">
        <v>316</v>
      </c>
      <c r="R118" s="20" t="s">
        <v>628</v>
      </c>
      <c r="S118" s="20" t="s">
        <v>393</v>
      </c>
    </row>
    <row r="119" spans="1:23">
      <c r="A119" s="20" t="s">
        <v>629</v>
      </c>
      <c r="B119" s="20">
        <v>1996</v>
      </c>
      <c r="C119" s="20" t="s">
        <v>570</v>
      </c>
      <c r="E119" s="21">
        <v>3</v>
      </c>
      <c r="F119" s="20" t="s">
        <v>609</v>
      </c>
      <c r="G119" s="20" t="s">
        <v>615</v>
      </c>
      <c r="H119" s="40">
        <v>142.56666666666666</v>
      </c>
      <c r="I119" s="40">
        <v>-31.066666666666666</v>
      </c>
      <c r="J119" s="20" t="s">
        <v>611</v>
      </c>
      <c r="K119" s="27" t="s">
        <v>495</v>
      </c>
      <c r="L119" s="22">
        <v>-5340</v>
      </c>
      <c r="M119" s="23" t="s">
        <v>308</v>
      </c>
      <c r="N119" s="24">
        <v>90</v>
      </c>
      <c r="O119" s="20" t="s">
        <v>630</v>
      </c>
      <c r="Q119" s="20" t="s">
        <v>302</v>
      </c>
      <c r="R119" s="20" t="s">
        <v>619</v>
      </c>
      <c r="S119" s="20" t="s">
        <v>361</v>
      </c>
    </row>
    <row r="120" spans="1:23">
      <c r="A120" s="20" t="s">
        <v>631</v>
      </c>
      <c r="B120" s="20">
        <v>1996</v>
      </c>
      <c r="C120" s="20" t="s">
        <v>570</v>
      </c>
      <c r="E120" s="21">
        <v>3</v>
      </c>
      <c r="F120" s="20" t="s">
        <v>609</v>
      </c>
      <c r="G120" s="20" t="s">
        <v>615</v>
      </c>
      <c r="H120" s="40">
        <v>142.56666666666666</v>
      </c>
      <c r="I120" s="40">
        <v>-31.066666666666666</v>
      </c>
      <c r="J120" s="20" t="s">
        <v>611</v>
      </c>
      <c r="K120" s="27" t="s">
        <v>495</v>
      </c>
      <c r="L120" s="22">
        <v>-1380</v>
      </c>
      <c r="M120" s="23" t="s">
        <v>308</v>
      </c>
      <c r="N120" s="24">
        <v>60</v>
      </c>
      <c r="O120" s="20" t="s">
        <v>632</v>
      </c>
      <c r="Q120" s="20" t="s">
        <v>316</v>
      </c>
      <c r="R120" s="20" t="s">
        <v>548</v>
      </c>
      <c r="S120" s="20" t="s">
        <v>548</v>
      </c>
    </row>
    <row r="121" spans="1:23">
      <c r="A121" s="20" t="s">
        <v>633</v>
      </c>
      <c r="B121" s="20">
        <v>1996</v>
      </c>
      <c r="C121" s="20" t="s">
        <v>570</v>
      </c>
      <c r="E121" s="21">
        <v>3</v>
      </c>
      <c r="F121" s="20" t="s">
        <v>609</v>
      </c>
      <c r="G121" s="20" t="s">
        <v>615</v>
      </c>
      <c r="H121" s="40">
        <v>142.56666666666666</v>
      </c>
      <c r="I121" s="40">
        <v>-31.066666666666666</v>
      </c>
      <c r="J121" s="20" t="s">
        <v>611</v>
      </c>
      <c r="K121" s="27" t="s">
        <v>495</v>
      </c>
      <c r="L121" s="22">
        <v>-3430</v>
      </c>
      <c r="M121" s="23" t="s">
        <v>308</v>
      </c>
      <c r="N121" s="24">
        <v>70</v>
      </c>
      <c r="O121" s="20" t="s">
        <v>634</v>
      </c>
      <c r="Q121" s="20" t="s">
        <v>316</v>
      </c>
      <c r="R121" s="20" t="s">
        <v>445</v>
      </c>
      <c r="S121" s="20" t="s">
        <v>445</v>
      </c>
      <c r="W121" s="26" t="s">
        <v>334</v>
      </c>
    </row>
    <row r="122" spans="1:23">
      <c r="A122" s="20" t="s">
        <v>635</v>
      </c>
      <c r="B122" s="20">
        <v>1996</v>
      </c>
      <c r="C122" s="20" t="s">
        <v>570</v>
      </c>
      <c r="E122" s="21">
        <v>3</v>
      </c>
      <c r="F122" s="20" t="s">
        <v>609</v>
      </c>
      <c r="G122" s="20" t="s">
        <v>615</v>
      </c>
      <c r="H122" s="40">
        <v>142.56666666666666</v>
      </c>
      <c r="I122" s="40">
        <v>-31.066666666666666</v>
      </c>
      <c r="J122" s="20" t="s">
        <v>611</v>
      </c>
      <c r="K122" s="27" t="s">
        <v>495</v>
      </c>
      <c r="L122" s="22">
        <v>-1000</v>
      </c>
      <c r="M122" s="23" t="s">
        <v>308</v>
      </c>
      <c r="N122" s="24">
        <v>70</v>
      </c>
      <c r="O122" s="20" t="s">
        <v>636</v>
      </c>
      <c r="P122" s="20">
        <v>1</v>
      </c>
      <c r="Q122" s="27" t="s">
        <v>316</v>
      </c>
      <c r="R122" s="20" t="s">
        <v>637</v>
      </c>
      <c r="S122" s="20" t="s">
        <v>575</v>
      </c>
      <c r="T122" s="25">
        <v>-24.6</v>
      </c>
      <c r="W122" s="26" t="s">
        <v>354</v>
      </c>
    </row>
    <row r="123" spans="1:23">
      <c r="A123" s="20" t="s">
        <v>638</v>
      </c>
      <c r="B123" s="20">
        <v>1996</v>
      </c>
      <c r="C123" s="20" t="s">
        <v>570</v>
      </c>
      <c r="E123" s="21">
        <v>3</v>
      </c>
      <c r="F123" s="20" t="s">
        <v>609</v>
      </c>
      <c r="G123" s="20" t="s">
        <v>615</v>
      </c>
      <c r="H123" s="40">
        <v>142.56666666666666</v>
      </c>
      <c r="I123" s="40">
        <v>-31.066666666666666</v>
      </c>
      <c r="J123" s="20" t="s">
        <v>611</v>
      </c>
      <c r="K123" s="27" t="s">
        <v>495</v>
      </c>
      <c r="L123" s="22">
        <v>-1300</v>
      </c>
      <c r="M123" s="23" t="s">
        <v>308</v>
      </c>
      <c r="N123" s="24">
        <v>40</v>
      </c>
      <c r="O123" s="20" t="s">
        <v>639</v>
      </c>
      <c r="P123" s="20">
        <v>1</v>
      </c>
      <c r="Q123" s="20" t="s">
        <v>316</v>
      </c>
      <c r="R123" s="20" t="s">
        <v>575</v>
      </c>
      <c r="S123" s="20" t="s">
        <v>575</v>
      </c>
      <c r="W123" s="26" t="s">
        <v>354</v>
      </c>
    </row>
    <row r="124" spans="1:23">
      <c r="A124" s="20" t="s">
        <v>640</v>
      </c>
      <c r="B124" s="20">
        <v>1997</v>
      </c>
      <c r="C124" s="20" t="s">
        <v>570</v>
      </c>
      <c r="E124" s="21">
        <v>3</v>
      </c>
      <c r="F124" s="20" t="s">
        <v>609</v>
      </c>
      <c r="G124" s="20" t="s">
        <v>615</v>
      </c>
      <c r="H124" s="40">
        <v>142.56666666666666</v>
      </c>
      <c r="I124" s="40">
        <v>-31.066666666666666</v>
      </c>
      <c r="J124" s="20" t="s">
        <v>611</v>
      </c>
      <c r="K124" s="27" t="s">
        <v>495</v>
      </c>
      <c r="L124" s="22">
        <v>-2960</v>
      </c>
      <c r="M124" s="23" t="s">
        <v>308</v>
      </c>
      <c r="N124" s="24">
        <v>100</v>
      </c>
      <c r="O124" s="20" t="s">
        <v>641</v>
      </c>
      <c r="Q124" s="20" t="s">
        <v>302</v>
      </c>
      <c r="R124" s="20" t="s">
        <v>642</v>
      </c>
      <c r="S124" s="20" t="s">
        <v>400</v>
      </c>
      <c r="W124" s="26" t="s">
        <v>334</v>
      </c>
    </row>
    <row r="125" spans="1:23">
      <c r="A125" s="20" t="s">
        <v>643</v>
      </c>
      <c r="B125" s="20">
        <v>1996</v>
      </c>
      <c r="C125" s="20" t="s">
        <v>570</v>
      </c>
      <c r="E125" s="21">
        <v>3</v>
      </c>
      <c r="F125" s="20" t="s">
        <v>609</v>
      </c>
      <c r="G125" s="20" t="s">
        <v>615</v>
      </c>
      <c r="H125" s="40">
        <v>142.56666666666666</v>
      </c>
      <c r="I125" s="40">
        <v>-31.066666666666666</v>
      </c>
      <c r="J125" s="20" t="s">
        <v>611</v>
      </c>
      <c r="K125" s="27" t="s">
        <v>495</v>
      </c>
      <c r="L125" s="22">
        <v>-3040</v>
      </c>
      <c r="M125" s="23" t="s">
        <v>308</v>
      </c>
      <c r="N125" s="24">
        <v>70</v>
      </c>
      <c r="O125" s="20" t="s">
        <v>644</v>
      </c>
      <c r="Q125" s="20" t="s">
        <v>302</v>
      </c>
      <c r="R125" s="20" t="s">
        <v>400</v>
      </c>
      <c r="S125" s="20" t="s">
        <v>400</v>
      </c>
      <c r="W125" s="26" t="s">
        <v>336</v>
      </c>
    </row>
    <row r="126" spans="1:23">
      <c r="A126" s="20" t="s">
        <v>645</v>
      </c>
      <c r="B126" s="20">
        <v>1996</v>
      </c>
      <c r="C126" s="20" t="s">
        <v>570</v>
      </c>
      <c r="E126" s="21">
        <v>3</v>
      </c>
      <c r="F126" s="20" t="s">
        <v>646</v>
      </c>
      <c r="G126" s="20" t="s">
        <v>499</v>
      </c>
      <c r="H126" s="40">
        <v>142.6</v>
      </c>
      <c r="I126" s="40">
        <v>-31.166666666666668</v>
      </c>
      <c r="J126" s="20" t="s">
        <v>611</v>
      </c>
      <c r="K126" s="27" t="s">
        <v>495</v>
      </c>
      <c r="L126" s="22">
        <v>-280</v>
      </c>
      <c r="M126" s="23" t="s">
        <v>308</v>
      </c>
      <c r="N126" s="24">
        <v>40</v>
      </c>
      <c r="O126" s="20" t="s">
        <v>647</v>
      </c>
      <c r="Q126" s="20" t="s">
        <v>316</v>
      </c>
      <c r="R126" s="20" t="s">
        <v>575</v>
      </c>
      <c r="S126" s="20" t="s">
        <v>575</v>
      </c>
    </row>
    <row r="127" spans="1:23">
      <c r="A127" s="20" t="s">
        <v>648</v>
      </c>
      <c r="B127" s="20">
        <v>1996</v>
      </c>
      <c r="C127" s="20" t="s">
        <v>570</v>
      </c>
      <c r="E127" s="21">
        <v>3</v>
      </c>
      <c r="F127" s="20" t="s">
        <v>646</v>
      </c>
      <c r="G127" s="20" t="s">
        <v>499</v>
      </c>
      <c r="H127" s="40">
        <v>142.6</v>
      </c>
      <c r="I127" s="40">
        <v>-31.166666666666668</v>
      </c>
      <c r="J127" s="20" t="s">
        <v>611</v>
      </c>
      <c r="K127" s="27" t="s">
        <v>495</v>
      </c>
      <c r="L127" s="22">
        <v>-270</v>
      </c>
      <c r="M127" s="23" t="s">
        <v>308</v>
      </c>
      <c r="N127" s="24">
        <v>40</v>
      </c>
      <c r="O127" s="20" t="s">
        <v>649</v>
      </c>
      <c r="Q127" s="20" t="s">
        <v>316</v>
      </c>
      <c r="R127" s="20" t="s">
        <v>548</v>
      </c>
      <c r="S127" s="20" t="s">
        <v>548</v>
      </c>
    </row>
    <row r="128" spans="1:23">
      <c r="A128" s="20" t="s">
        <v>650</v>
      </c>
      <c r="B128" s="20">
        <v>1996</v>
      </c>
      <c r="C128" s="20" t="s">
        <v>570</v>
      </c>
      <c r="E128" s="21">
        <v>3</v>
      </c>
      <c r="F128" s="20" t="s">
        <v>646</v>
      </c>
      <c r="G128" s="20" t="s">
        <v>499</v>
      </c>
      <c r="H128" s="40">
        <v>142.6</v>
      </c>
      <c r="I128" s="40">
        <v>-31.166666666666668</v>
      </c>
      <c r="J128" s="20" t="s">
        <v>611</v>
      </c>
      <c r="K128" s="27" t="s">
        <v>495</v>
      </c>
      <c r="L128" s="22">
        <v>-2680</v>
      </c>
      <c r="M128" s="23" t="s">
        <v>308</v>
      </c>
      <c r="N128" s="24">
        <v>60</v>
      </c>
      <c r="O128" s="20" t="s">
        <v>651</v>
      </c>
      <c r="Q128" s="20" t="s">
        <v>302</v>
      </c>
      <c r="R128" s="20" t="s">
        <v>400</v>
      </c>
      <c r="S128" s="20" t="s">
        <v>400</v>
      </c>
      <c r="W128" s="26" t="s">
        <v>336</v>
      </c>
    </row>
    <row r="129" spans="1:24">
      <c r="A129" s="20" t="s">
        <v>652</v>
      </c>
      <c r="E129" s="21">
        <v>1</v>
      </c>
      <c r="F129" s="20" t="s">
        <v>646</v>
      </c>
      <c r="G129" s="20" t="s">
        <v>653</v>
      </c>
      <c r="H129" s="40">
        <v>142.6</v>
      </c>
      <c r="I129" s="40">
        <v>-31.166666666666668</v>
      </c>
      <c r="J129" s="20" t="s">
        <v>494</v>
      </c>
      <c r="K129" s="20" t="s">
        <v>495</v>
      </c>
      <c r="L129" s="22">
        <v>-420</v>
      </c>
      <c r="M129" s="23" t="s">
        <v>308</v>
      </c>
      <c r="N129" s="24">
        <v>50</v>
      </c>
      <c r="O129" s="20" t="s">
        <v>654</v>
      </c>
      <c r="P129" s="20">
        <v>1</v>
      </c>
      <c r="Q129" s="20" t="s">
        <v>316</v>
      </c>
      <c r="R129" s="20" t="s">
        <v>393</v>
      </c>
      <c r="S129" s="20" t="s">
        <v>393</v>
      </c>
      <c r="T129" s="25">
        <v>-27.4</v>
      </c>
      <c r="W129" s="26" t="s">
        <v>336</v>
      </c>
      <c r="X129" s="27"/>
    </row>
    <row r="130" spans="1:24">
      <c r="A130" s="27" t="s">
        <v>655</v>
      </c>
      <c r="B130" s="29">
        <v>1983</v>
      </c>
      <c r="C130" s="24" t="s">
        <v>656</v>
      </c>
      <c r="D130" s="24" t="s">
        <v>657</v>
      </c>
      <c r="E130" s="21">
        <v>8</v>
      </c>
      <c r="F130" s="20" t="s">
        <v>658</v>
      </c>
      <c r="G130" s="20" t="s">
        <v>659</v>
      </c>
      <c r="H130" s="40">
        <v>142.6</v>
      </c>
      <c r="I130" s="40">
        <v>-31.166666666666668</v>
      </c>
      <c r="L130" s="26">
        <v>-1840</v>
      </c>
      <c r="M130" s="23" t="s">
        <v>308</v>
      </c>
      <c r="N130" s="24">
        <v>100</v>
      </c>
      <c r="O130" s="20" t="s">
        <v>660</v>
      </c>
      <c r="Q130" s="27" t="s">
        <v>302</v>
      </c>
      <c r="R130" s="20" t="s">
        <v>661</v>
      </c>
      <c r="S130" s="20" t="s">
        <v>661</v>
      </c>
      <c r="W130" s="26" t="s">
        <v>354</v>
      </c>
    </row>
    <row r="131" spans="1:24">
      <c r="A131" s="20" t="s">
        <v>662</v>
      </c>
      <c r="E131" s="21">
        <v>1</v>
      </c>
      <c r="F131" s="20" t="s">
        <v>663</v>
      </c>
      <c r="G131" s="20" t="s">
        <v>664</v>
      </c>
      <c r="H131" s="40">
        <v>138.55000000000001</v>
      </c>
      <c r="I131" s="40">
        <v>-31.35</v>
      </c>
      <c r="J131" s="20" t="s">
        <v>665</v>
      </c>
      <c r="K131" s="20" t="s">
        <v>495</v>
      </c>
      <c r="L131" s="22">
        <v>-6710</v>
      </c>
      <c r="M131" s="23" t="s">
        <v>308</v>
      </c>
      <c r="N131" s="24">
        <v>80</v>
      </c>
      <c r="O131" s="20" t="s">
        <v>666</v>
      </c>
      <c r="P131" s="20">
        <v>1</v>
      </c>
      <c r="Q131" s="20" t="s">
        <v>316</v>
      </c>
      <c r="R131" s="20" t="s">
        <v>393</v>
      </c>
      <c r="S131" s="20" t="s">
        <v>393</v>
      </c>
      <c r="W131" s="26" t="s">
        <v>334</v>
      </c>
    </row>
    <row r="132" spans="1:24">
      <c r="A132" s="20" t="s">
        <v>667</v>
      </c>
      <c r="E132" s="21">
        <v>1</v>
      </c>
      <c r="F132" s="20" t="s">
        <v>663</v>
      </c>
      <c r="G132" s="20" t="s">
        <v>664</v>
      </c>
      <c r="H132" s="40">
        <v>138.55000000000001</v>
      </c>
      <c r="I132" s="40">
        <v>-31.35</v>
      </c>
      <c r="J132" s="20" t="s">
        <v>665</v>
      </c>
      <c r="K132" s="20" t="s">
        <v>495</v>
      </c>
      <c r="L132" s="22">
        <v>-6800</v>
      </c>
      <c r="M132" s="23" t="s">
        <v>308</v>
      </c>
      <c r="N132" s="24">
        <v>70</v>
      </c>
      <c r="O132" s="20" t="s">
        <v>668</v>
      </c>
      <c r="P132" s="20">
        <v>1</v>
      </c>
      <c r="Q132" s="20" t="s">
        <v>316</v>
      </c>
      <c r="R132" s="20" t="s">
        <v>393</v>
      </c>
      <c r="S132" s="20" t="s">
        <v>393</v>
      </c>
      <c r="W132" s="26" t="s">
        <v>336</v>
      </c>
    </row>
    <row r="133" spans="1:24">
      <c r="A133" s="20" t="s">
        <v>669</v>
      </c>
      <c r="E133" s="21">
        <v>1</v>
      </c>
      <c r="F133" s="20" t="s">
        <v>663</v>
      </c>
      <c r="G133" s="20" t="s">
        <v>664</v>
      </c>
      <c r="H133" s="40">
        <v>138.55000000000001</v>
      </c>
      <c r="I133" s="40">
        <v>-31.35</v>
      </c>
      <c r="J133" s="20" t="s">
        <v>665</v>
      </c>
      <c r="K133" s="20" t="s">
        <v>495</v>
      </c>
      <c r="L133" s="22">
        <v>-5020</v>
      </c>
      <c r="M133" s="23" t="s">
        <v>308</v>
      </c>
      <c r="N133" s="24">
        <v>70</v>
      </c>
      <c r="O133" s="20" t="s">
        <v>670</v>
      </c>
      <c r="P133" s="20">
        <v>1</v>
      </c>
      <c r="Q133" s="20" t="s">
        <v>316</v>
      </c>
      <c r="R133" s="20" t="s">
        <v>345</v>
      </c>
      <c r="S133" s="20" t="s">
        <v>345</v>
      </c>
      <c r="T133" s="25">
        <v>-27.8</v>
      </c>
      <c r="W133" s="26" t="s">
        <v>354</v>
      </c>
    </row>
    <row r="134" spans="1:24">
      <c r="A134" s="20" t="s">
        <v>671</v>
      </c>
      <c r="E134" s="21">
        <v>1</v>
      </c>
      <c r="F134" s="20" t="s">
        <v>663</v>
      </c>
      <c r="G134" s="20" t="s">
        <v>664</v>
      </c>
      <c r="H134" s="40">
        <v>138.55000000000001</v>
      </c>
      <c r="I134" s="40">
        <v>-31.35</v>
      </c>
      <c r="J134" s="20" t="s">
        <v>665</v>
      </c>
      <c r="K134" s="20" t="s">
        <v>495</v>
      </c>
      <c r="L134" s="22">
        <v>-3690</v>
      </c>
      <c r="M134" s="23" t="s">
        <v>308</v>
      </c>
      <c r="N134" s="24">
        <v>180</v>
      </c>
      <c r="O134" s="20" t="s">
        <v>672</v>
      </c>
      <c r="P134" s="20">
        <v>1</v>
      </c>
      <c r="Q134" s="20" t="s">
        <v>316</v>
      </c>
      <c r="R134" s="20" t="s">
        <v>393</v>
      </c>
      <c r="S134" s="20" t="s">
        <v>393</v>
      </c>
      <c r="W134" s="26" t="s">
        <v>334</v>
      </c>
    </row>
    <row r="135" spans="1:24">
      <c r="A135" s="20" t="s">
        <v>671</v>
      </c>
      <c r="E135" s="21">
        <v>1</v>
      </c>
      <c r="F135" s="20" t="s">
        <v>663</v>
      </c>
      <c r="G135" s="20" t="s">
        <v>664</v>
      </c>
      <c r="H135" s="40">
        <v>138.55000000000001</v>
      </c>
      <c r="I135" s="40">
        <v>-31.35</v>
      </c>
      <c r="J135" s="20" t="s">
        <v>665</v>
      </c>
      <c r="K135" s="20" t="s">
        <v>495</v>
      </c>
      <c r="L135" s="22">
        <v>-3640</v>
      </c>
      <c r="M135" s="23" t="s">
        <v>308</v>
      </c>
      <c r="N135" s="24">
        <v>70</v>
      </c>
      <c r="O135" s="20" t="s">
        <v>673</v>
      </c>
      <c r="P135" s="20">
        <v>1</v>
      </c>
      <c r="Q135" s="20" t="s">
        <v>316</v>
      </c>
      <c r="R135" s="20" t="s">
        <v>345</v>
      </c>
      <c r="S135" s="20" t="s">
        <v>345</v>
      </c>
      <c r="W135" s="26" t="s">
        <v>334</v>
      </c>
    </row>
    <row r="136" spans="1:24">
      <c r="A136" s="20" t="s">
        <v>674</v>
      </c>
      <c r="E136" s="21">
        <v>1</v>
      </c>
      <c r="F136" s="20" t="s">
        <v>663</v>
      </c>
      <c r="G136" s="20" t="s">
        <v>664</v>
      </c>
      <c r="H136" s="40">
        <v>138.55000000000001</v>
      </c>
      <c r="I136" s="40">
        <v>-31.35</v>
      </c>
      <c r="J136" s="20" t="s">
        <v>665</v>
      </c>
      <c r="K136" s="20" t="s">
        <v>495</v>
      </c>
      <c r="L136" s="22">
        <v>-3790</v>
      </c>
      <c r="M136" s="23" t="s">
        <v>308</v>
      </c>
      <c r="N136" s="24">
        <v>90</v>
      </c>
      <c r="O136" s="20" t="s">
        <v>675</v>
      </c>
      <c r="P136" s="20">
        <v>1</v>
      </c>
      <c r="Q136" s="20" t="s">
        <v>316</v>
      </c>
      <c r="R136" s="20" t="s">
        <v>345</v>
      </c>
      <c r="S136" s="20" t="s">
        <v>345</v>
      </c>
      <c r="W136" s="26" t="s">
        <v>336</v>
      </c>
    </row>
    <row r="137" spans="1:24">
      <c r="A137" s="20" t="s">
        <v>674</v>
      </c>
      <c r="E137" s="21">
        <v>1</v>
      </c>
      <c r="F137" s="20" t="s">
        <v>663</v>
      </c>
      <c r="G137" s="20" t="s">
        <v>664</v>
      </c>
      <c r="H137" s="40">
        <v>138.55000000000001</v>
      </c>
      <c r="I137" s="40">
        <v>-31.35</v>
      </c>
      <c r="J137" s="20" t="s">
        <v>665</v>
      </c>
      <c r="K137" s="20" t="s">
        <v>495</v>
      </c>
      <c r="L137" s="22">
        <v>-3570</v>
      </c>
      <c r="M137" s="23" t="s">
        <v>308</v>
      </c>
      <c r="N137" s="24">
        <v>120</v>
      </c>
      <c r="O137" s="20" t="s">
        <v>676</v>
      </c>
      <c r="P137" s="20">
        <v>1</v>
      </c>
      <c r="Q137" s="20" t="s">
        <v>316</v>
      </c>
      <c r="R137" s="20" t="s">
        <v>393</v>
      </c>
      <c r="S137" s="20" t="s">
        <v>393</v>
      </c>
      <c r="W137" s="26" t="s">
        <v>336</v>
      </c>
    </row>
    <row r="138" spans="1:24">
      <c r="A138" s="20" t="s">
        <v>677</v>
      </c>
      <c r="E138" s="21">
        <v>1</v>
      </c>
      <c r="F138" s="20" t="s">
        <v>663</v>
      </c>
      <c r="G138" s="20" t="s">
        <v>664</v>
      </c>
      <c r="H138" s="40">
        <v>138.55000000000001</v>
      </c>
      <c r="I138" s="40">
        <v>-31.35</v>
      </c>
      <c r="J138" s="20" t="s">
        <v>665</v>
      </c>
      <c r="K138" s="20" t="s">
        <v>495</v>
      </c>
      <c r="L138" s="22">
        <v>-6290</v>
      </c>
      <c r="M138" s="23" t="s">
        <v>308</v>
      </c>
      <c r="N138" s="24">
        <v>190</v>
      </c>
      <c r="O138" s="20" t="s">
        <v>678</v>
      </c>
      <c r="P138" s="20">
        <v>1</v>
      </c>
      <c r="Q138" s="20" t="s">
        <v>316</v>
      </c>
      <c r="R138" s="20" t="s">
        <v>393</v>
      </c>
      <c r="S138" s="20" t="s">
        <v>393</v>
      </c>
    </row>
    <row r="139" spans="1:24">
      <c r="A139" s="20" t="s">
        <v>677</v>
      </c>
      <c r="E139" s="21">
        <v>1</v>
      </c>
      <c r="F139" s="20" t="s">
        <v>663</v>
      </c>
      <c r="G139" s="20" t="s">
        <v>664</v>
      </c>
      <c r="H139" s="40">
        <v>138.55000000000001</v>
      </c>
      <c r="I139" s="40">
        <v>-31.35</v>
      </c>
      <c r="J139" s="20" t="s">
        <v>665</v>
      </c>
      <c r="K139" s="20" t="s">
        <v>495</v>
      </c>
      <c r="L139" s="22">
        <v>-5690</v>
      </c>
      <c r="M139" s="23" t="s">
        <v>308</v>
      </c>
      <c r="N139" s="24">
        <v>70</v>
      </c>
      <c r="O139" s="20" t="s">
        <v>679</v>
      </c>
      <c r="P139" s="20">
        <v>1</v>
      </c>
      <c r="Q139" s="20" t="s">
        <v>316</v>
      </c>
      <c r="R139" s="20" t="s">
        <v>345</v>
      </c>
      <c r="S139" s="20" t="s">
        <v>345</v>
      </c>
    </row>
    <row r="140" spans="1:24">
      <c r="A140" s="20" t="s">
        <v>680</v>
      </c>
      <c r="E140" s="21">
        <v>1</v>
      </c>
      <c r="F140" s="20" t="s">
        <v>663</v>
      </c>
      <c r="G140" s="20" t="s">
        <v>664</v>
      </c>
      <c r="H140" s="40">
        <v>138.55000000000001</v>
      </c>
      <c r="I140" s="40">
        <v>-31.35</v>
      </c>
      <c r="J140" s="20" t="s">
        <v>665</v>
      </c>
      <c r="K140" s="20" t="s">
        <v>495</v>
      </c>
      <c r="L140" s="22">
        <v>-6650</v>
      </c>
      <c r="M140" s="23" t="s">
        <v>308</v>
      </c>
      <c r="N140" s="24">
        <v>80</v>
      </c>
      <c r="O140" s="20" t="s">
        <v>681</v>
      </c>
      <c r="P140" s="20">
        <v>1</v>
      </c>
      <c r="Q140" s="20" t="s">
        <v>316</v>
      </c>
      <c r="R140" s="20" t="s">
        <v>393</v>
      </c>
      <c r="S140" s="20" t="s">
        <v>393</v>
      </c>
    </row>
    <row r="141" spans="1:24">
      <c r="A141" s="20" t="s">
        <v>680</v>
      </c>
      <c r="E141" s="21">
        <v>1</v>
      </c>
      <c r="F141" s="20" t="s">
        <v>663</v>
      </c>
      <c r="G141" s="20" t="s">
        <v>664</v>
      </c>
      <c r="H141" s="40">
        <v>138.55000000000001</v>
      </c>
      <c r="I141" s="40">
        <v>-31.35</v>
      </c>
      <c r="J141" s="20" t="s">
        <v>665</v>
      </c>
      <c r="K141" s="20" t="s">
        <v>495</v>
      </c>
      <c r="L141" s="22">
        <v>-6610</v>
      </c>
      <c r="M141" s="23" t="s">
        <v>308</v>
      </c>
      <c r="N141" s="24">
        <v>90</v>
      </c>
      <c r="O141" s="20" t="s">
        <v>682</v>
      </c>
      <c r="P141" s="20">
        <v>1</v>
      </c>
      <c r="Q141" s="20" t="s">
        <v>316</v>
      </c>
      <c r="R141" s="20" t="s">
        <v>345</v>
      </c>
      <c r="S141" s="20" t="s">
        <v>345</v>
      </c>
    </row>
    <row r="142" spans="1:24">
      <c r="A142" s="20" t="s">
        <v>683</v>
      </c>
      <c r="E142" s="21">
        <v>1</v>
      </c>
      <c r="F142" s="20" t="s">
        <v>663</v>
      </c>
      <c r="G142" s="20" t="s">
        <v>664</v>
      </c>
      <c r="H142" s="40">
        <v>138.55000000000001</v>
      </c>
      <c r="I142" s="40">
        <v>-31.35</v>
      </c>
      <c r="J142" s="20" t="s">
        <v>665</v>
      </c>
      <c r="K142" s="20" t="s">
        <v>495</v>
      </c>
      <c r="L142" s="22">
        <v>-5790</v>
      </c>
      <c r="M142" s="23" t="s">
        <v>308</v>
      </c>
      <c r="N142" s="24">
        <v>80</v>
      </c>
      <c r="O142" s="20" t="s">
        <v>684</v>
      </c>
      <c r="P142" s="20">
        <v>1</v>
      </c>
      <c r="Q142" s="20" t="s">
        <v>316</v>
      </c>
      <c r="R142" s="20" t="s">
        <v>345</v>
      </c>
      <c r="S142" s="20" t="s">
        <v>345</v>
      </c>
      <c r="T142" s="25">
        <v>-26.5</v>
      </c>
      <c r="W142" s="26" t="s">
        <v>334</v>
      </c>
    </row>
    <row r="143" spans="1:24">
      <c r="A143" s="27" t="s">
        <v>685</v>
      </c>
      <c r="B143" s="27"/>
      <c r="C143" s="27"/>
      <c r="D143" s="27"/>
      <c r="E143" s="21">
        <v>1</v>
      </c>
      <c r="F143" s="24" t="s">
        <v>663</v>
      </c>
      <c r="G143" s="24" t="s">
        <v>664</v>
      </c>
      <c r="H143" s="40">
        <v>138.55000000000001</v>
      </c>
      <c r="I143" s="40">
        <v>-31.35</v>
      </c>
      <c r="J143" s="20" t="s">
        <v>665</v>
      </c>
      <c r="K143" s="27" t="s">
        <v>495</v>
      </c>
      <c r="L143" s="26">
        <v>-2430</v>
      </c>
      <c r="M143" s="23" t="s">
        <v>308</v>
      </c>
      <c r="N143" s="24">
        <v>70</v>
      </c>
      <c r="O143" s="20" t="s">
        <v>686</v>
      </c>
      <c r="P143" s="20">
        <v>1</v>
      </c>
      <c r="Q143" s="27" t="s">
        <v>316</v>
      </c>
      <c r="R143" s="20" t="s">
        <v>361</v>
      </c>
      <c r="S143" s="20" t="s">
        <v>361</v>
      </c>
      <c r="T143" s="25">
        <v>-23.6</v>
      </c>
    </row>
    <row r="144" spans="1:24">
      <c r="A144" s="20" t="s">
        <v>687</v>
      </c>
      <c r="E144" s="21">
        <v>1</v>
      </c>
      <c r="F144" s="24" t="s">
        <v>663</v>
      </c>
      <c r="G144" s="24" t="s">
        <v>664</v>
      </c>
      <c r="H144" s="40">
        <v>138.55000000000001</v>
      </c>
      <c r="I144" s="40">
        <v>-31.35</v>
      </c>
      <c r="J144" s="20" t="s">
        <v>665</v>
      </c>
      <c r="K144" s="27" t="s">
        <v>495</v>
      </c>
      <c r="L144" s="26">
        <v>-2950</v>
      </c>
      <c r="M144" s="23" t="s">
        <v>308</v>
      </c>
      <c r="N144" s="24">
        <v>200</v>
      </c>
      <c r="O144" s="20" t="s">
        <v>688</v>
      </c>
      <c r="P144" s="20">
        <v>1</v>
      </c>
      <c r="Q144" s="27" t="s">
        <v>316</v>
      </c>
      <c r="S144" s="20" t="s">
        <v>333</v>
      </c>
      <c r="T144" s="25">
        <v>-25</v>
      </c>
    </row>
    <row r="145" spans="1:24">
      <c r="A145" s="20" t="s">
        <v>662</v>
      </c>
      <c r="E145" s="21">
        <v>1</v>
      </c>
      <c r="F145" s="20" t="s">
        <v>663</v>
      </c>
      <c r="G145" s="20" t="s">
        <v>689</v>
      </c>
      <c r="H145" s="40">
        <v>138.55000000000001</v>
      </c>
      <c r="I145" s="40">
        <v>-31.35</v>
      </c>
      <c r="J145" s="20" t="s">
        <v>665</v>
      </c>
      <c r="K145" s="20" t="s">
        <v>495</v>
      </c>
      <c r="L145" s="22">
        <v>-7310</v>
      </c>
      <c r="M145" s="23" t="s">
        <v>308</v>
      </c>
      <c r="N145" s="24">
        <v>90</v>
      </c>
      <c r="O145" s="20" t="s">
        <v>690</v>
      </c>
      <c r="Q145" s="20" t="s">
        <v>316</v>
      </c>
      <c r="R145" s="20" t="s">
        <v>345</v>
      </c>
      <c r="S145" s="20" t="s">
        <v>345</v>
      </c>
      <c r="W145" s="26" t="s">
        <v>334</v>
      </c>
    </row>
    <row r="146" spans="1:24">
      <c r="A146" s="20" t="s">
        <v>667</v>
      </c>
      <c r="E146" s="21">
        <v>1</v>
      </c>
      <c r="F146" s="20" t="s">
        <v>663</v>
      </c>
      <c r="G146" s="20" t="s">
        <v>689</v>
      </c>
      <c r="H146" s="40">
        <v>138.55000000000001</v>
      </c>
      <c r="I146" s="40">
        <v>-31.35</v>
      </c>
      <c r="J146" s="20" t="s">
        <v>665</v>
      </c>
      <c r="K146" s="20" t="s">
        <v>495</v>
      </c>
      <c r="L146" s="22">
        <v>-7400</v>
      </c>
      <c r="M146" s="23" t="s">
        <v>308</v>
      </c>
      <c r="N146" s="24">
        <v>90</v>
      </c>
      <c r="O146" s="20" t="s">
        <v>691</v>
      </c>
      <c r="Q146" s="20" t="s">
        <v>316</v>
      </c>
      <c r="R146" s="20" t="s">
        <v>345</v>
      </c>
      <c r="S146" s="20" t="s">
        <v>345</v>
      </c>
      <c r="W146" s="26" t="s">
        <v>336</v>
      </c>
    </row>
    <row r="147" spans="1:24">
      <c r="A147" s="20" t="s">
        <v>677</v>
      </c>
      <c r="E147" s="21">
        <v>1</v>
      </c>
      <c r="F147" s="20" t="s">
        <v>663</v>
      </c>
      <c r="G147" s="20" t="s">
        <v>689</v>
      </c>
      <c r="H147" s="40">
        <v>138.55000000000001</v>
      </c>
      <c r="I147" s="40">
        <v>-31.35</v>
      </c>
      <c r="J147" s="20" t="s">
        <v>665</v>
      </c>
      <c r="K147" s="20" t="s">
        <v>495</v>
      </c>
      <c r="L147" s="22">
        <v>-6930</v>
      </c>
      <c r="M147" s="23" t="s">
        <v>308</v>
      </c>
      <c r="N147" s="24">
        <v>80</v>
      </c>
      <c r="O147" s="20" t="s">
        <v>692</v>
      </c>
      <c r="Q147" s="20" t="s">
        <v>316</v>
      </c>
      <c r="R147" s="20" t="s">
        <v>345</v>
      </c>
      <c r="S147" s="20" t="s">
        <v>345</v>
      </c>
    </row>
    <row r="148" spans="1:24">
      <c r="A148" s="20" t="s">
        <v>693</v>
      </c>
      <c r="E148" s="21">
        <v>1</v>
      </c>
      <c r="F148" s="20" t="s">
        <v>663</v>
      </c>
      <c r="G148" s="20" t="s">
        <v>689</v>
      </c>
      <c r="H148" s="40">
        <v>138.55000000000001</v>
      </c>
      <c r="I148" s="40">
        <v>-31.35</v>
      </c>
      <c r="J148" s="20" t="s">
        <v>665</v>
      </c>
      <c r="K148" s="20" t="s">
        <v>495</v>
      </c>
      <c r="L148" s="22">
        <v>-6520</v>
      </c>
      <c r="M148" s="23" t="s">
        <v>308</v>
      </c>
      <c r="N148" s="24">
        <v>50</v>
      </c>
      <c r="O148" s="20" t="s">
        <v>694</v>
      </c>
      <c r="Q148" s="20" t="s">
        <v>316</v>
      </c>
      <c r="R148" s="20" t="s">
        <v>393</v>
      </c>
      <c r="S148" s="20" t="s">
        <v>393</v>
      </c>
    </row>
    <row r="149" spans="1:24">
      <c r="A149" s="20" t="s">
        <v>695</v>
      </c>
      <c r="E149" s="21">
        <v>1</v>
      </c>
      <c r="F149" s="20" t="s">
        <v>663</v>
      </c>
      <c r="G149" s="20" t="s">
        <v>689</v>
      </c>
      <c r="H149" s="40">
        <v>138.55000000000001</v>
      </c>
      <c r="I149" s="40">
        <v>-31.35</v>
      </c>
      <c r="J149" s="20" t="s">
        <v>665</v>
      </c>
      <c r="K149" s="20" t="s">
        <v>495</v>
      </c>
      <c r="L149" s="22">
        <v>-6580</v>
      </c>
      <c r="M149" s="23" t="s">
        <v>308</v>
      </c>
      <c r="N149" s="24">
        <v>60</v>
      </c>
      <c r="O149" s="20" t="s">
        <v>696</v>
      </c>
      <c r="Q149" s="20" t="s">
        <v>316</v>
      </c>
      <c r="R149" s="20" t="s">
        <v>393</v>
      </c>
      <c r="S149" s="20" t="s">
        <v>393</v>
      </c>
    </row>
    <row r="150" spans="1:24">
      <c r="A150" s="20" t="s">
        <v>697</v>
      </c>
      <c r="E150" s="21">
        <v>1</v>
      </c>
      <c r="F150" s="20" t="s">
        <v>663</v>
      </c>
      <c r="G150" s="20" t="s">
        <v>689</v>
      </c>
      <c r="H150" s="40">
        <v>138.55000000000001</v>
      </c>
      <c r="I150" s="40">
        <v>-31.35</v>
      </c>
      <c r="J150" s="20" t="s">
        <v>665</v>
      </c>
      <c r="K150" s="20" t="s">
        <v>495</v>
      </c>
      <c r="L150" s="22">
        <v>-6880</v>
      </c>
      <c r="M150" s="23" t="s">
        <v>308</v>
      </c>
      <c r="N150" s="24">
        <v>50</v>
      </c>
      <c r="O150" s="20" t="s">
        <v>698</v>
      </c>
      <c r="Q150" s="20" t="s">
        <v>316</v>
      </c>
      <c r="R150" s="20" t="s">
        <v>393</v>
      </c>
      <c r="S150" s="20" t="s">
        <v>393</v>
      </c>
    </row>
    <row r="151" spans="1:24">
      <c r="A151" s="20" t="s">
        <v>699</v>
      </c>
      <c r="E151" s="21">
        <v>1</v>
      </c>
      <c r="F151" s="20" t="s">
        <v>663</v>
      </c>
      <c r="G151" s="20" t="s">
        <v>689</v>
      </c>
      <c r="H151" s="40">
        <v>138.55000000000001</v>
      </c>
      <c r="I151" s="40">
        <v>-31.35</v>
      </c>
      <c r="J151" s="20" t="s">
        <v>665</v>
      </c>
      <c r="K151" s="20" t="s">
        <v>495</v>
      </c>
      <c r="L151" s="22">
        <v>-6920</v>
      </c>
      <c r="M151" s="23" t="s">
        <v>308</v>
      </c>
      <c r="N151" s="24">
        <v>50</v>
      </c>
      <c r="O151" s="20" t="s">
        <v>700</v>
      </c>
      <c r="Q151" s="20" t="s">
        <v>316</v>
      </c>
      <c r="R151" s="20" t="s">
        <v>393</v>
      </c>
      <c r="S151" s="20" t="s">
        <v>393</v>
      </c>
    </row>
    <row r="152" spans="1:24">
      <c r="A152" s="20" t="s">
        <v>680</v>
      </c>
      <c r="E152" s="21">
        <v>1</v>
      </c>
      <c r="F152" s="20" t="s">
        <v>663</v>
      </c>
      <c r="G152" s="20" t="s">
        <v>689</v>
      </c>
      <c r="H152" s="40">
        <v>138.55000000000001</v>
      </c>
      <c r="I152" s="40">
        <v>-31.35</v>
      </c>
      <c r="J152" s="20" t="s">
        <v>665</v>
      </c>
      <c r="K152" s="20" t="s">
        <v>495</v>
      </c>
      <c r="L152" s="22">
        <v>-7720</v>
      </c>
      <c r="M152" s="23" t="s">
        <v>308</v>
      </c>
      <c r="N152" s="24">
        <v>90</v>
      </c>
      <c r="O152" s="20" t="s">
        <v>701</v>
      </c>
      <c r="Q152" s="20" t="s">
        <v>316</v>
      </c>
      <c r="R152" s="20" t="s">
        <v>345</v>
      </c>
      <c r="S152" s="20" t="s">
        <v>345</v>
      </c>
    </row>
    <row r="153" spans="1:24">
      <c r="A153" s="20" t="s">
        <v>702</v>
      </c>
      <c r="B153" s="20">
        <v>1996</v>
      </c>
      <c r="C153" s="20" t="s">
        <v>570</v>
      </c>
      <c r="E153" s="21">
        <v>3</v>
      </c>
      <c r="F153" s="20" t="s">
        <v>646</v>
      </c>
      <c r="G153" s="20" t="s">
        <v>499</v>
      </c>
      <c r="H153" s="40">
        <v>142.6</v>
      </c>
      <c r="I153" s="40">
        <v>-31.166666666666668</v>
      </c>
      <c r="J153" s="20" t="s">
        <v>611</v>
      </c>
      <c r="K153" s="27" t="s">
        <v>495</v>
      </c>
      <c r="L153" s="22">
        <v>-530</v>
      </c>
      <c r="M153" s="23" t="s">
        <v>308</v>
      </c>
      <c r="N153" s="24">
        <v>80</v>
      </c>
      <c r="O153" s="20" t="s">
        <v>703</v>
      </c>
      <c r="Q153" s="20" t="s">
        <v>302</v>
      </c>
      <c r="R153" s="20" t="s">
        <v>575</v>
      </c>
      <c r="S153" s="20" t="s">
        <v>575</v>
      </c>
    </row>
    <row r="154" spans="1:24">
      <c r="A154" s="20" t="s">
        <v>704</v>
      </c>
      <c r="B154" s="20">
        <v>1996</v>
      </c>
      <c r="C154" s="20" t="s">
        <v>570</v>
      </c>
      <c r="E154" s="21">
        <v>3</v>
      </c>
      <c r="F154" s="20" t="s">
        <v>646</v>
      </c>
      <c r="G154" s="20" t="s">
        <v>499</v>
      </c>
      <c r="H154" s="40">
        <v>142.6</v>
      </c>
      <c r="I154" s="40">
        <v>-31.166666666666668</v>
      </c>
      <c r="J154" s="20" t="s">
        <v>611</v>
      </c>
      <c r="K154" s="27" t="s">
        <v>495</v>
      </c>
      <c r="L154" s="22">
        <v>-510</v>
      </c>
      <c r="M154" s="23" t="s">
        <v>308</v>
      </c>
      <c r="N154" s="20">
        <v>70</v>
      </c>
      <c r="O154" s="20" t="s">
        <v>705</v>
      </c>
      <c r="Q154" s="20" t="s">
        <v>302</v>
      </c>
      <c r="R154" s="20" t="s">
        <v>613</v>
      </c>
      <c r="S154" s="20" t="s">
        <v>361</v>
      </c>
      <c r="W154" s="26" t="s">
        <v>334</v>
      </c>
    </row>
    <row r="155" spans="1:24">
      <c r="A155" s="20" t="s">
        <v>706</v>
      </c>
      <c r="B155" s="20">
        <v>1996</v>
      </c>
      <c r="C155" s="20" t="s">
        <v>570</v>
      </c>
      <c r="E155" s="21">
        <v>3</v>
      </c>
      <c r="F155" s="20" t="s">
        <v>646</v>
      </c>
      <c r="G155" s="20" t="s">
        <v>499</v>
      </c>
      <c r="H155" s="40">
        <v>142.6</v>
      </c>
      <c r="I155" s="40">
        <v>-31.166666666666668</v>
      </c>
      <c r="J155" s="20" t="s">
        <v>611</v>
      </c>
      <c r="K155" s="27" t="s">
        <v>495</v>
      </c>
      <c r="L155" s="22">
        <v>-310</v>
      </c>
      <c r="M155" s="23" t="s">
        <v>308</v>
      </c>
      <c r="N155" s="24">
        <v>70</v>
      </c>
      <c r="O155" s="20" t="s">
        <v>707</v>
      </c>
      <c r="Q155" s="20" t="s">
        <v>302</v>
      </c>
      <c r="R155" s="20" t="s">
        <v>613</v>
      </c>
      <c r="S155" s="20" t="s">
        <v>361</v>
      </c>
      <c r="W155" s="26" t="s">
        <v>336</v>
      </c>
      <c r="X155" s="27"/>
    </row>
    <row r="156" spans="1:24">
      <c r="A156" s="20" t="s">
        <v>708</v>
      </c>
      <c r="B156" s="20">
        <v>1996</v>
      </c>
      <c r="C156" s="20" t="s">
        <v>570</v>
      </c>
      <c r="E156" s="21">
        <v>3</v>
      </c>
      <c r="F156" s="20" t="s">
        <v>646</v>
      </c>
      <c r="G156" s="20" t="s">
        <v>499</v>
      </c>
      <c r="H156" s="40">
        <v>142.6</v>
      </c>
      <c r="I156" s="40">
        <v>-31.166666666666668</v>
      </c>
      <c r="J156" s="20" t="s">
        <v>611</v>
      </c>
      <c r="K156" s="27" t="s">
        <v>495</v>
      </c>
      <c r="L156" s="22">
        <v>-220</v>
      </c>
      <c r="M156" s="23" t="s">
        <v>308</v>
      </c>
      <c r="N156" s="24">
        <v>70</v>
      </c>
      <c r="O156" s="20" t="s">
        <v>709</v>
      </c>
      <c r="Q156" s="27" t="s">
        <v>302</v>
      </c>
      <c r="R156" s="20" t="s">
        <v>575</v>
      </c>
      <c r="S156" s="20" t="s">
        <v>575</v>
      </c>
      <c r="W156" s="26" t="s">
        <v>334</v>
      </c>
    </row>
    <row r="157" spans="1:24">
      <c r="A157" s="20" t="s">
        <v>710</v>
      </c>
      <c r="E157" s="21">
        <v>1</v>
      </c>
      <c r="F157" s="27"/>
      <c r="K157" s="27" t="s">
        <v>495</v>
      </c>
      <c r="L157" s="26">
        <v>-1600</v>
      </c>
      <c r="M157" s="23" t="s">
        <v>308</v>
      </c>
      <c r="N157" s="24">
        <v>50</v>
      </c>
      <c r="O157" s="20" t="s">
        <v>711</v>
      </c>
      <c r="P157" s="20">
        <v>1</v>
      </c>
      <c r="Q157" s="27" t="s">
        <v>316</v>
      </c>
      <c r="S157" s="20" t="s">
        <v>712</v>
      </c>
      <c r="T157" s="25">
        <v>-25</v>
      </c>
    </row>
    <row r="158" spans="1:24">
      <c r="A158" s="20" t="s">
        <v>713</v>
      </c>
      <c r="E158" s="21">
        <v>1</v>
      </c>
      <c r="F158" s="27"/>
      <c r="K158" s="27" t="s">
        <v>495</v>
      </c>
      <c r="L158" s="26">
        <v>-961</v>
      </c>
      <c r="M158" s="23" t="s">
        <v>308</v>
      </c>
      <c r="N158" s="24">
        <v>145</v>
      </c>
      <c r="O158" s="20" t="s">
        <v>714</v>
      </c>
      <c r="P158" s="20">
        <v>1</v>
      </c>
      <c r="Q158" s="27" t="s">
        <v>316</v>
      </c>
      <c r="R158" s="20" t="s">
        <v>361</v>
      </c>
      <c r="S158" s="20" t="s">
        <v>361</v>
      </c>
      <c r="T158" s="25">
        <v>-24.6</v>
      </c>
    </row>
    <row r="159" spans="1:24">
      <c r="A159" s="20" t="s">
        <v>715</v>
      </c>
      <c r="E159" s="21">
        <v>9</v>
      </c>
      <c r="J159" s="20" t="s">
        <v>716</v>
      </c>
      <c r="K159" s="27" t="s">
        <v>495</v>
      </c>
      <c r="L159" s="26">
        <v>-400</v>
      </c>
      <c r="M159" s="23" t="s">
        <v>308</v>
      </c>
      <c r="N159" s="24"/>
      <c r="Q159" s="20" t="s">
        <v>333</v>
      </c>
      <c r="S159" s="20" t="s">
        <v>333</v>
      </c>
      <c r="W159" s="26" t="s">
        <v>541</v>
      </c>
    </row>
    <row r="160" spans="1:24">
      <c r="A160" s="20" t="s">
        <v>717</v>
      </c>
      <c r="C160" s="20" t="s">
        <v>718</v>
      </c>
      <c r="K160" s="27"/>
      <c r="L160" s="22">
        <v>-770</v>
      </c>
      <c r="M160" s="23"/>
      <c r="N160" s="24">
        <v>70</v>
      </c>
      <c r="O160" s="20" t="s">
        <v>496</v>
      </c>
    </row>
    <row r="161" spans="1:23">
      <c r="A161" s="20" t="s">
        <v>719</v>
      </c>
      <c r="B161" s="20">
        <v>1991</v>
      </c>
      <c r="C161" s="20" t="s">
        <v>720</v>
      </c>
      <c r="E161" s="21">
        <v>1</v>
      </c>
      <c r="G161" s="27"/>
      <c r="H161" s="27"/>
      <c r="I161" s="27"/>
      <c r="J161" s="27"/>
      <c r="K161" s="27" t="s">
        <v>495</v>
      </c>
      <c r="L161" s="26">
        <v>-10870</v>
      </c>
      <c r="M161" s="23" t="s">
        <v>308</v>
      </c>
      <c r="N161" s="24">
        <v>80</v>
      </c>
      <c r="O161" s="27" t="s">
        <v>721</v>
      </c>
      <c r="Q161" s="24" t="s">
        <v>333</v>
      </c>
      <c r="R161" s="27" t="s">
        <v>722</v>
      </c>
      <c r="S161" s="27" t="s">
        <v>722</v>
      </c>
      <c r="T161" s="25">
        <v>-25</v>
      </c>
      <c r="W161" s="26" t="s">
        <v>378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15F1-3D39-431C-9525-8353A36801CF}">
  <dimension ref="A1:F460"/>
  <sheetViews>
    <sheetView topLeftCell="A183" workbookViewId="0">
      <selection activeCell="A183" sqref="A1:IV65536"/>
    </sheetView>
  </sheetViews>
  <sheetFormatPr defaultRowHeight="12.75"/>
  <cols>
    <col min="1" max="1" width="9.28515625" style="1" customWidth="1"/>
    <col min="2" max="2" width="19.7109375" style="1" customWidth="1"/>
    <col min="3" max="4" width="19.7109375" style="5" customWidth="1"/>
    <col min="5" max="5" width="10.5703125" hidden="1" customWidth="1"/>
    <col min="6" max="6" width="9.5703125" hidden="1" customWidth="1"/>
  </cols>
  <sheetData>
    <row r="1" spans="1:5">
      <c r="A1" s="1" t="s">
        <v>0</v>
      </c>
      <c r="B1" s="1" t="s">
        <v>235</v>
      </c>
      <c r="C1" s="5" t="s">
        <v>236</v>
      </c>
      <c r="D1" s="5" t="s">
        <v>723</v>
      </c>
      <c r="E1" t="s">
        <v>724</v>
      </c>
    </row>
    <row r="2" spans="1:5">
      <c r="A2" t="s">
        <v>165</v>
      </c>
      <c r="B2" t="s">
        <v>237</v>
      </c>
      <c r="C2">
        <v>113.3</v>
      </c>
      <c r="D2" s="5">
        <v>-26.4</v>
      </c>
      <c r="E2" t="s">
        <v>725</v>
      </c>
    </row>
    <row r="3" spans="1:5">
      <c r="A3" t="s">
        <v>165</v>
      </c>
      <c r="B3" t="s">
        <v>237</v>
      </c>
      <c r="C3">
        <v>113.43300000000001</v>
      </c>
      <c r="D3" s="5">
        <v>-24.117000000000001</v>
      </c>
      <c r="E3" t="s">
        <v>726</v>
      </c>
    </row>
    <row r="4" spans="1:5">
      <c r="A4" t="s">
        <v>165</v>
      </c>
      <c r="B4" t="s">
        <v>237</v>
      </c>
      <c r="C4">
        <v>113.583</v>
      </c>
      <c r="D4" s="5">
        <v>-25.632999999999999</v>
      </c>
      <c r="E4" t="s">
        <v>727</v>
      </c>
    </row>
    <row r="5" spans="1:5">
      <c r="A5" t="s">
        <v>165</v>
      </c>
      <c r="B5" t="s">
        <v>237</v>
      </c>
      <c r="C5">
        <v>113.68300000000001</v>
      </c>
      <c r="D5" s="5">
        <v>-26.6</v>
      </c>
      <c r="E5" t="s">
        <v>728</v>
      </c>
    </row>
    <row r="6" spans="1:5">
      <c r="A6" t="s">
        <v>165</v>
      </c>
      <c r="B6" t="s">
        <v>237</v>
      </c>
      <c r="C6">
        <v>113.8</v>
      </c>
      <c r="D6" s="5">
        <v>-23.117000000000001</v>
      </c>
      <c r="E6" t="s">
        <v>729</v>
      </c>
    </row>
    <row r="7" spans="1:5">
      <c r="A7" t="s">
        <v>165</v>
      </c>
      <c r="B7" t="s">
        <v>237</v>
      </c>
      <c r="C7">
        <v>113.983</v>
      </c>
      <c r="D7" s="5">
        <v>-22.2</v>
      </c>
      <c r="E7" t="s">
        <v>730</v>
      </c>
    </row>
    <row r="8" spans="1:5">
      <c r="A8" t="s">
        <v>165</v>
      </c>
      <c r="B8" t="s">
        <v>237</v>
      </c>
      <c r="C8">
        <v>113.983</v>
      </c>
      <c r="D8" s="5">
        <v>-22.183</v>
      </c>
      <c r="E8" t="s">
        <v>731</v>
      </c>
    </row>
    <row r="9" spans="1:5">
      <c r="A9" t="s">
        <v>165</v>
      </c>
      <c r="B9" t="s">
        <v>237</v>
      </c>
      <c r="C9">
        <v>114</v>
      </c>
      <c r="D9" s="5">
        <v>-22.216999999999999</v>
      </c>
      <c r="E9" t="s">
        <v>732</v>
      </c>
    </row>
    <row r="10" spans="1:5">
      <c r="A10" t="s">
        <v>165</v>
      </c>
      <c r="B10" t="s">
        <v>237</v>
      </c>
      <c r="C10">
        <v>114</v>
      </c>
      <c r="D10" s="5">
        <v>-22.132999999999999</v>
      </c>
      <c r="E10" t="s">
        <v>733</v>
      </c>
    </row>
    <row r="11" spans="1:5">
      <c r="A11" t="s">
        <v>165</v>
      </c>
      <c r="B11" t="s">
        <v>237</v>
      </c>
      <c r="C11">
        <v>114.033</v>
      </c>
      <c r="D11" s="5">
        <v>-22.016999999999999</v>
      </c>
      <c r="E11" t="s">
        <v>734</v>
      </c>
    </row>
    <row r="12" spans="1:5">
      <c r="A12" t="s">
        <v>165</v>
      </c>
      <c r="B12" t="s">
        <v>237</v>
      </c>
      <c r="C12">
        <v>114.283</v>
      </c>
      <c r="D12" s="5">
        <v>-25.983000000000001</v>
      </c>
      <c r="E12" t="s">
        <v>735</v>
      </c>
    </row>
    <row r="13" spans="1:5">
      <c r="A13" t="s">
        <v>165</v>
      </c>
      <c r="B13" t="s">
        <v>237</v>
      </c>
      <c r="C13">
        <v>115.15</v>
      </c>
      <c r="D13" s="5">
        <v>-25.35</v>
      </c>
      <c r="E13" t="s">
        <v>736</v>
      </c>
    </row>
    <row r="14" spans="1:5">
      <c r="A14" t="s">
        <v>165</v>
      </c>
      <c r="B14" t="s">
        <v>237</v>
      </c>
      <c r="C14">
        <v>115.35</v>
      </c>
      <c r="D14" s="5">
        <v>-24.75</v>
      </c>
      <c r="E14" t="s">
        <v>737</v>
      </c>
    </row>
    <row r="15" spans="1:5">
      <c r="A15" t="s">
        <v>165</v>
      </c>
      <c r="B15" t="s">
        <v>237</v>
      </c>
      <c r="C15">
        <v>115.583</v>
      </c>
      <c r="D15" s="5">
        <v>-29.082999999999998</v>
      </c>
      <c r="E15" t="s">
        <v>738</v>
      </c>
    </row>
    <row r="16" spans="1:5">
      <c r="A16" t="s">
        <v>165</v>
      </c>
      <c r="B16" t="s">
        <v>237</v>
      </c>
      <c r="C16">
        <v>115.617</v>
      </c>
      <c r="D16" s="5">
        <v>-28.117000000000001</v>
      </c>
      <c r="E16" t="s">
        <v>739</v>
      </c>
    </row>
    <row r="17" spans="1:5">
      <c r="A17" t="s">
        <v>165</v>
      </c>
      <c r="B17" t="s">
        <v>237</v>
      </c>
      <c r="C17">
        <v>116.283</v>
      </c>
      <c r="D17" s="5">
        <v>-27.466999999999999</v>
      </c>
      <c r="E17" t="s">
        <v>740</v>
      </c>
    </row>
    <row r="18" spans="1:5">
      <c r="A18" t="s">
        <v>165</v>
      </c>
      <c r="B18" t="s">
        <v>237</v>
      </c>
      <c r="C18">
        <v>116.767</v>
      </c>
      <c r="D18" s="5">
        <v>-29.2</v>
      </c>
      <c r="E18" t="s">
        <v>741</v>
      </c>
    </row>
    <row r="19" spans="1:5">
      <c r="A19" t="s">
        <v>165</v>
      </c>
      <c r="B19" t="s">
        <v>237</v>
      </c>
      <c r="C19">
        <v>117.15</v>
      </c>
      <c r="D19" s="5">
        <v>-23.567</v>
      </c>
      <c r="E19" t="s">
        <v>742</v>
      </c>
    </row>
    <row r="20" spans="1:5">
      <c r="A20" t="s">
        <v>165</v>
      </c>
      <c r="B20" t="s">
        <v>237</v>
      </c>
      <c r="C20">
        <v>117.18300000000001</v>
      </c>
      <c r="D20" s="5">
        <v>-28.132999999999999</v>
      </c>
      <c r="E20" t="s">
        <v>743</v>
      </c>
    </row>
    <row r="21" spans="1:5">
      <c r="A21" t="s">
        <v>165</v>
      </c>
      <c r="B21" t="s">
        <v>237</v>
      </c>
      <c r="C21">
        <v>117.25</v>
      </c>
      <c r="D21" s="5">
        <v>-29.567</v>
      </c>
      <c r="E21" t="s">
        <v>744</v>
      </c>
    </row>
    <row r="22" spans="1:5">
      <c r="A22" t="s">
        <v>165</v>
      </c>
      <c r="B22" t="s">
        <v>237</v>
      </c>
      <c r="C22">
        <v>117.7</v>
      </c>
      <c r="D22" s="5">
        <v>-26.917000000000002</v>
      </c>
      <c r="E22" t="s">
        <v>745</v>
      </c>
    </row>
    <row r="23" spans="1:5">
      <c r="A23" t="s">
        <v>165</v>
      </c>
      <c r="B23" t="s">
        <v>237</v>
      </c>
      <c r="C23">
        <v>117.75</v>
      </c>
      <c r="D23" s="5">
        <v>-25.067</v>
      </c>
      <c r="E23" t="s">
        <v>746</v>
      </c>
    </row>
    <row r="24" spans="1:5">
      <c r="A24" t="s">
        <v>165</v>
      </c>
      <c r="B24" t="s">
        <v>237</v>
      </c>
      <c r="C24">
        <v>117.81699999999999</v>
      </c>
      <c r="D24" s="5">
        <v>-28.55</v>
      </c>
      <c r="E24" t="s">
        <v>747</v>
      </c>
    </row>
    <row r="25" spans="1:5">
      <c r="A25" t="s">
        <v>165</v>
      </c>
      <c r="B25" t="s">
        <v>237</v>
      </c>
      <c r="C25">
        <v>117.917</v>
      </c>
      <c r="D25" s="5">
        <v>-24.05</v>
      </c>
      <c r="E25" t="s">
        <v>748</v>
      </c>
    </row>
    <row r="26" spans="1:5">
      <c r="A26" t="s">
        <v>165</v>
      </c>
      <c r="B26" t="s">
        <v>237</v>
      </c>
      <c r="C26">
        <v>119.367</v>
      </c>
      <c r="D26" s="5">
        <v>-29.367000000000001</v>
      </c>
      <c r="E26" t="s">
        <v>749</v>
      </c>
    </row>
    <row r="27" spans="1:5">
      <c r="A27" t="s">
        <v>165</v>
      </c>
      <c r="B27" t="s">
        <v>237</v>
      </c>
      <c r="C27">
        <v>119.43300000000001</v>
      </c>
      <c r="D27" s="5">
        <v>-23.966999999999999</v>
      </c>
      <c r="E27" t="s">
        <v>750</v>
      </c>
    </row>
    <row r="28" spans="1:5">
      <c r="A28" t="s">
        <v>165</v>
      </c>
      <c r="B28" t="s">
        <v>237</v>
      </c>
      <c r="C28">
        <v>119.93300000000001</v>
      </c>
      <c r="D28" s="5">
        <v>-27.05</v>
      </c>
      <c r="E28" t="s">
        <v>751</v>
      </c>
    </row>
    <row r="29" spans="1:5">
      <c r="A29" t="s">
        <v>165</v>
      </c>
      <c r="B29" t="s">
        <v>237</v>
      </c>
      <c r="C29">
        <v>120.3</v>
      </c>
      <c r="D29" s="5">
        <v>-28.117000000000001</v>
      </c>
      <c r="E29" t="s">
        <v>752</v>
      </c>
    </row>
    <row r="30" spans="1:5">
      <c r="A30" t="s">
        <v>165</v>
      </c>
      <c r="B30" t="s">
        <v>237</v>
      </c>
      <c r="C30">
        <v>120.533</v>
      </c>
      <c r="D30" s="5">
        <v>-30.082999999999998</v>
      </c>
      <c r="E30" t="s">
        <v>753</v>
      </c>
    </row>
    <row r="31" spans="1:5">
      <c r="A31" t="s">
        <v>165</v>
      </c>
      <c r="B31" t="s">
        <v>237</v>
      </c>
      <c r="C31">
        <v>121.05</v>
      </c>
      <c r="D31" s="5">
        <v>-26.417000000000002</v>
      </c>
      <c r="E31" t="s">
        <v>754</v>
      </c>
    </row>
    <row r="32" spans="1:5">
      <c r="A32" t="s">
        <v>165</v>
      </c>
      <c r="B32" t="s">
        <v>237</v>
      </c>
      <c r="C32">
        <v>121.633</v>
      </c>
      <c r="D32" s="5">
        <v>-29.516999999999999</v>
      </c>
      <c r="E32" t="s">
        <v>755</v>
      </c>
    </row>
    <row r="33" spans="1:5">
      <c r="A33" t="s">
        <v>165</v>
      </c>
      <c r="B33" t="s">
        <v>237</v>
      </c>
      <c r="C33">
        <v>122.81699999999999</v>
      </c>
      <c r="D33" s="5">
        <v>-30.082999999999998</v>
      </c>
      <c r="E33" t="s">
        <v>756</v>
      </c>
    </row>
    <row r="34" spans="1:5">
      <c r="A34" t="s">
        <v>165</v>
      </c>
      <c r="B34" t="s">
        <v>237</v>
      </c>
      <c r="C34">
        <v>124.43300000000001</v>
      </c>
      <c r="D34" s="5">
        <v>-25.433</v>
      </c>
      <c r="E34" t="s">
        <v>757</v>
      </c>
    </row>
    <row r="35" spans="1:5">
      <c r="A35" t="s">
        <v>165</v>
      </c>
      <c r="B35" t="s">
        <v>237</v>
      </c>
      <c r="C35">
        <v>124.983</v>
      </c>
      <c r="D35" s="5">
        <v>-25.033000000000001</v>
      </c>
      <c r="E35" t="s">
        <v>758</v>
      </c>
    </row>
    <row r="36" spans="1:5">
      <c r="A36" s="9">
        <v>13235</v>
      </c>
      <c r="B36" s="10" t="s">
        <v>237</v>
      </c>
      <c r="C36" s="2">
        <v>125.86666517263507</v>
      </c>
      <c r="D36" s="2">
        <v>-26.60000359388658</v>
      </c>
    </row>
    <row r="37" spans="1:5">
      <c r="A37" t="s">
        <v>165</v>
      </c>
      <c r="B37" t="s">
        <v>237</v>
      </c>
      <c r="C37">
        <v>125.867</v>
      </c>
      <c r="D37" s="5">
        <v>-26.6</v>
      </c>
      <c r="E37" t="s">
        <v>759</v>
      </c>
    </row>
    <row r="38" spans="1:5">
      <c r="A38" s="9">
        <v>12678</v>
      </c>
      <c r="B38" s="10" t="s">
        <v>237</v>
      </c>
      <c r="C38" s="2">
        <v>125.88332589087337</v>
      </c>
      <c r="D38" s="2">
        <v>-32.216670195722415</v>
      </c>
    </row>
    <row r="39" spans="1:5">
      <c r="A39" s="9">
        <v>12738</v>
      </c>
      <c r="B39" s="10" t="s">
        <v>237</v>
      </c>
      <c r="C39" s="2">
        <v>125.91666592057311</v>
      </c>
      <c r="D39" s="2">
        <v>-31.966669920192786</v>
      </c>
    </row>
    <row r="40" spans="1:5">
      <c r="A40" t="s">
        <v>165</v>
      </c>
      <c r="B40" t="s">
        <v>237</v>
      </c>
      <c r="C40">
        <v>125.93300000000001</v>
      </c>
      <c r="D40" s="5">
        <v>-25.766999999999999</v>
      </c>
      <c r="E40" t="s">
        <v>760</v>
      </c>
    </row>
    <row r="41" spans="1:5">
      <c r="A41" s="9">
        <v>13233</v>
      </c>
      <c r="B41" s="10" t="s">
        <v>237</v>
      </c>
      <c r="C41" s="2">
        <v>125.93333106124335</v>
      </c>
      <c r="D41" s="2">
        <v>-25.766668375519782</v>
      </c>
    </row>
    <row r="42" spans="1:5">
      <c r="A42" t="s">
        <v>165</v>
      </c>
      <c r="B42" t="s">
        <v>237</v>
      </c>
      <c r="C42">
        <v>126.033</v>
      </c>
      <c r="D42" s="5">
        <v>-26.516999999999999</v>
      </c>
      <c r="E42" t="s">
        <v>761</v>
      </c>
    </row>
    <row r="43" spans="1:5">
      <c r="A43" s="8">
        <v>13234</v>
      </c>
      <c r="B43" s="10" t="s">
        <v>237</v>
      </c>
      <c r="C43" s="2">
        <v>126.03332701761936</v>
      </c>
      <c r="D43" s="2">
        <v>-26.516675087613809</v>
      </c>
    </row>
    <row r="44" spans="1:5">
      <c r="A44" s="8">
        <v>12788</v>
      </c>
      <c r="B44" s="10" t="s">
        <v>237</v>
      </c>
      <c r="C44" s="2">
        <v>126.03332736910907</v>
      </c>
      <c r="D44" s="2">
        <v>-32.050003190943805</v>
      </c>
    </row>
    <row r="45" spans="1:5">
      <c r="A45" s="8">
        <v>12713</v>
      </c>
      <c r="B45" s="10" t="s">
        <v>237</v>
      </c>
      <c r="C45" s="2">
        <v>126.03332882986672</v>
      </c>
      <c r="D45" s="2">
        <v>-32.06667451851645</v>
      </c>
    </row>
    <row r="46" spans="1:5">
      <c r="A46" s="8">
        <v>12715</v>
      </c>
      <c r="B46" s="10" t="s">
        <v>237</v>
      </c>
      <c r="C46" s="2">
        <v>126.18333304260975</v>
      </c>
      <c r="D46" s="2">
        <v>-32.100000062828983</v>
      </c>
    </row>
    <row r="47" spans="1:5">
      <c r="A47" s="8">
        <v>13236</v>
      </c>
      <c r="B47" s="10" t="s">
        <v>237</v>
      </c>
      <c r="C47" s="2">
        <v>126.44999835605805</v>
      </c>
      <c r="D47" s="2">
        <v>-26.700005847136644</v>
      </c>
    </row>
    <row r="48" spans="1:5">
      <c r="A48" t="s">
        <v>165</v>
      </c>
      <c r="B48" t="s">
        <v>237</v>
      </c>
      <c r="C48">
        <v>126.45</v>
      </c>
      <c r="D48" s="5">
        <v>-26.7</v>
      </c>
      <c r="E48" t="s">
        <v>762</v>
      </c>
    </row>
    <row r="49" spans="1:5">
      <c r="A49" s="8">
        <v>13237</v>
      </c>
      <c r="B49" s="10" t="s">
        <v>237</v>
      </c>
      <c r="C49" s="2">
        <v>126.46666461463113</v>
      </c>
      <c r="D49" s="2">
        <v>-27.200001860053746</v>
      </c>
    </row>
    <row r="50" spans="1:5">
      <c r="A50" t="s">
        <v>165</v>
      </c>
      <c r="B50" t="s">
        <v>237</v>
      </c>
      <c r="C50">
        <v>126.467</v>
      </c>
      <c r="D50" s="5">
        <v>-27.2</v>
      </c>
      <c r="E50" t="s">
        <v>763</v>
      </c>
    </row>
    <row r="51" spans="1:5">
      <c r="A51" s="8">
        <v>12725</v>
      </c>
      <c r="B51" s="10" t="s">
        <v>237</v>
      </c>
      <c r="C51" s="2">
        <v>126.73332634405332</v>
      </c>
      <c r="D51" s="2">
        <v>-31.850007684654891</v>
      </c>
    </row>
    <row r="52" spans="1:5">
      <c r="A52" s="8">
        <v>12723</v>
      </c>
      <c r="B52" s="10" t="s">
        <v>237</v>
      </c>
      <c r="C52" s="2">
        <v>127.01666054318713</v>
      </c>
      <c r="D52" s="2">
        <v>-31.583339143492136</v>
      </c>
    </row>
    <row r="53" spans="1:5">
      <c r="A53" s="8">
        <v>12727</v>
      </c>
      <c r="B53" s="10" t="s">
        <v>237</v>
      </c>
      <c r="C53" s="2">
        <v>127.03332457729357</v>
      </c>
      <c r="D53" s="2">
        <v>-31.966673172226823</v>
      </c>
    </row>
    <row r="54" spans="1:5">
      <c r="A54" s="8">
        <v>12785</v>
      </c>
      <c r="B54" s="10" t="s">
        <v>237</v>
      </c>
      <c r="C54" s="2">
        <v>127.03332876663272</v>
      </c>
      <c r="D54" s="2">
        <v>-31.983341211053684</v>
      </c>
    </row>
    <row r="55" spans="1:5">
      <c r="A55" s="8">
        <v>12747</v>
      </c>
      <c r="B55" s="10" t="s">
        <v>237</v>
      </c>
      <c r="C55" s="2">
        <v>127.18333042201293</v>
      </c>
      <c r="D55" s="2">
        <v>-31.433337192970523</v>
      </c>
    </row>
    <row r="56" spans="1:5">
      <c r="A56" s="8">
        <v>12695</v>
      </c>
      <c r="B56" s="10" t="s">
        <v>237</v>
      </c>
      <c r="C56" s="2">
        <v>127.43332620260664</v>
      </c>
      <c r="D56" s="2">
        <v>-31.650000943509845</v>
      </c>
    </row>
    <row r="57" spans="1:5">
      <c r="A57" s="8">
        <v>12721</v>
      </c>
      <c r="B57" s="10" t="s">
        <v>237</v>
      </c>
      <c r="C57" s="2">
        <v>127.43332620260664</v>
      </c>
      <c r="D57" s="2">
        <v>-31.650000943509845</v>
      </c>
    </row>
    <row r="58" spans="1:5">
      <c r="A58" s="8">
        <v>12718</v>
      </c>
      <c r="B58" s="10" t="s">
        <v>237</v>
      </c>
      <c r="C58" s="2">
        <v>127.71666062389029</v>
      </c>
      <c r="D58" s="2">
        <v>-31.83333477294163</v>
      </c>
    </row>
    <row r="59" spans="1:5">
      <c r="A59" s="8">
        <v>12750</v>
      </c>
      <c r="B59" s="10" t="s">
        <v>237</v>
      </c>
      <c r="C59" s="2">
        <v>127.71666116878031</v>
      </c>
      <c r="D59" s="2">
        <v>-31.683340805906472</v>
      </c>
    </row>
    <row r="60" spans="1:5">
      <c r="A60" s="8">
        <v>12768</v>
      </c>
      <c r="B60" s="10" t="s">
        <v>237</v>
      </c>
      <c r="C60" s="2">
        <v>127.79999437308508</v>
      </c>
      <c r="D60" s="2">
        <v>-31.775005300990752</v>
      </c>
    </row>
    <row r="61" spans="1:5">
      <c r="A61" s="8">
        <v>12716</v>
      </c>
      <c r="B61" s="10" t="s">
        <v>237</v>
      </c>
      <c r="C61" s="2">
        <v>127.79999638903517</v>
      </c>
      <c r="D61" s="2">
        <v>-31.766669713229184</v>
      </c>
    </row>
    <row r="62" spans="1:5">
      <c r="A62" s="8">
        <v>12781</v>
      </c>
      <c r="B62" s="10" t="s">
        <v>237</v>
      </c>
      <c r="C62" s="2">
        <v>127.79999638903517</v>
      </c>
      <c r="D62" s="2">
        <v>-31.766669713229184</v>
      </c>
    </row>
    <row r="63" spans="1:5">
      <c r="A63" s="8">
        <v>12743</v>
      </c>
      <c r="B63" s="10" t="s">
        <v>237</v>
      </c>
      <c r="C63" s="2">
        <v>128.48332416590603</v>
      </c>
      <c r="D63" s="2">
        <v>-31.666673342579919</v>
      </c>
    </row>
    <row r="64" spans="1:5">
      <c r="A64" s="8">
        <v>12755</v>
      </c>
      <c r="B64" s="10" t="s">
        <v>237</v>
      </c>
      <c r="C64" s="2">
        <v>128.48332947992145</v>
      </c>
      <c r="D64" s="2">
        <v>-31.700000876470028</v>
      </c>
    </row>
    <row r="65" spans="1:6">
      <c r="A65" s="8">
        <v>12753</v>
      </c>
      <c r="B65" s="10" t="s">
        <v>237</v>
      </c>
      <c r="C65" s="2">
        <v>128.48333202306591</v>
      </c>
      <c r="D65" s="2">
        <v>-31.716673600125294</v>
      </c>
    </row>
    <row r="66" spans="1:6">
      <c r="A66" s="8">
        <v>12783</v>
      </c>
      <c r="B66" s="10" t="s">
        <v>237</v>
      </c>
      <c r="C66" s="2">
        <v>128.48333204168273</v>
      </c>
      <c r="D66" s="2">
        <v>-31.650000531334182</v>
      </c>
    </row>
    <row r="67" spans="1:6">
      <c r="A67" s="8">
        <v>12762</v>
      </c>
      <c r="B67" s="10" t="s">
        <v>237</v>
      </c>
      <c r="C67" s="2">
        <v>128.74998967975071</v>
      </c>
      <c r="D67" s="2">
        <v>-31.066674992483581</v>
      </c>
    </row>
    <row r="68" spans="1:6">
      <c r="A68" s="8">
        <v>12759</v>
      </c>
      <c r="B68" s="10" t="s">
        <v>237</v>
      </c>
      <c r="C68" s="2">
        <v>129.03333021296604</v>
      </c>
      <c r="D68" s="2">
        <v>-31.683341528055401</v>
      </c>
    </row>
    <row r="69" spans="1:6">
      <c r="A69" s="8">
        <v>12757</v>
      </c>
      <c r="B69" s="10" t="s">
        <v>237</v>
      </c>
      <c r="C69" s="2">
        <v>129.09999897198571</v>
      </c>
      <c r="D69" s="2">
        <v>-31.533337490179314</v>
      </c>
    </row>
    <row r="70" spans="1:6">
      <c r="A70" s="8">
        <v>12644</v>
      </c>
      <c r="B70" s="10" t="s">
        <v>237</v>
      </c>
      <c r="C70" s="2">
        <v>129.91665993942641</v>
      </c>
      <c r="D70" s="2">
        <v>-31.500003674349536</v>
      </c>
    </row>
    <row r="71" spans="1:6">
      <c r="A71" s="8">
        <v>105480</v>
      </c>
      <c r="B71" s="10" t="s">
        <v>237</v>
      </c>
      <c r="C71" s="2">
        <v>129.93292427739746</v>
      </c>
      <c r="D71" s="2">
        <v>-26.893581422014282</v>
      </c>
    </row>
    <row r="72" spans="1:6">
      <c r="A72" s="8">
        <v>12700</v>
      </c>
      <c r="B72" s="10" t="s">
        <v>237</v>
      </c>
      <c r="C72" s="2">
        <v>130.66666321618661</v>
      </c>
      <c r="D72" s="2">
        <v>-26.616672857216347</v>
      </c>
    </row>
    <row r="73" spans="1:6">
      <c r="A73" s="1" t="s">
        <v>239</v>
      </c>
      <c r="B73" s="1" t="str">
        <f>'NPC NT'!C16</f>
        <v>Leporillus apicalis</v>
      </c>
      <c r="C73" s="5">
        <f>'NPC NT'!H16</f>
        <v>130.83000000000001</v>
      </c>
      <c r="D73" s="5">
        <v>-23.8</v>
      </c>
      <c r="E73" s="11">
        <f>'NPC NT'!J16</f>
        <v>31624</v>
      </c>
      <c r="F73" t="s">
        <v>764</v>
      </c>
    </row>
    <row r="74" spans="1:6">
      <c r="A74" s="1" t="s">
        <v>239</v>
      </c>
      <c r="B74" s="1" t="str">
        <f>'NPC NT'!C18</f>
        <v>Leporillus apicalis</v>
      </c>
      <c r="C74" s="5">
        <f>'NPC NT'!H18</f>
        <v>131.03</v>
      </c>
      <c r="D74" s="5">
        <v>-25.35</v>
      </c>
      <c r="E74" s="11" t="str">
        <f>'NPC NT'!J18</f>
        <v>00/09/1983</v>
      </c>
    </row>
    <row r="75" spans="1:6">
      <c r="A75" s="1" t="s">
        <v>239</v>
      </c>
      <c r="B75" s="1" t="str">
        <f>'NPC NT'!C19</f>
        <v>Leporillus apicalis</v>
      </c>
      <c r="C75" s="5">
        <f>'NPC NT'!H19</f>
        <v>131.03</v>
      </c>
      <c r="D75" s="5">
        <v>-25.35</v>
      </c>
      <c r="E75" s="11" t="str">
        <f>'NPC NT'!J19</f>
        <v>00/09/1983</v>
      </c>
    </row>
    <row r="76" spans="1:6">
      <c r="A76" s="1" t="s">
        <v>239</v>
      </c>
      <c r="B76" s="1" t="str">
        <f>'NPC NT'!C20</f>
        <v>Leporillus apicalis</v>
      </c>
      <c r="C76" s="5">
        <f>'NPC NT'!H20</f>
        <v>131.03</v>
      </c>
      <c r="D76" s="5">
        <v>-25.35</v>
      </c>
      <c r="E76" s="11" t="str">
        <f>'NPC NT'!J20</f>
        <v>0/9/1983</v>
      </c>
    </row>
    <row r="77" spans="1:6">
      <c r="A77" s="1" t="s">
        <v>239</v>
      </c>
      <c r="B77" s="1" t="str">
        <f>'NPC NT'!C21</f>
        <v>Leporillus apicalis</v>
      </c>
      <c r="C77" s="5">
        <f>'NPC NT'!H21</f>
        <v>131.03</v>
      </c>
      <c r="D77" s="5">
        <v>-25.35</v>
      </c>
      <c r="E77" s="11" t="str">
        <f>'NPC NT'!J21</f>
        <v>0/9/1983</v>
      </c>
    </row>
    <row r="78" spans="1:6">
      <c r="A78" s="1" t="s">
        <v>239</v>
      </c>
      <c r="B78" s="1" t="str">
        <f>'NPC NT'!C17</f>
        <v>Leporillus apicalis</v>
      </c>
      <c r="C78" s="5">
        <f>'NPC NT'!H17</f>
        <v>131.31</v>
      </c>
      <c r="D78" s="5">
        <v>-23.83</v>
      </c>
      <c r="E78" s="11">
        <f>'NPC NT'!J17</f>
        <v>31623</v>
      </c>
    </row>
    <row r="79" spans="1:6">
      <c r="A79" s="1">
        <v>12674</v>
      </c>
      <c r="B79" s="1" t="s">
        <v>237</v>
      </c>
      <c r="C79" s="5">
        <v>132.166661</v>
      </c>
      <c r="D79" s="5">
        <v>-30.866669999999999</v>
      </c>
    </row>
    <row r="80" spans="1:6">
      <c r="A80" s="1" t="s">
        <v>239</v>
      </c>
      <c r="B80" s="1" t="str">
        <f>'NPC NT'!C22</f>
        <v>Leporillus apicalis</v>
      </c>
      <c r="C80" s="5">
        <f>'NPC NT'!H22</f>
        <v>133.41</v>
      </c>
      <c r="D80" s="5">
        <v>-24.03</v>
      </c>
      <c r="E80" s="11">
        <f>'NPC NT'!J22</f>
        <v>33147</v>
      </c>
    </row>
    <row r="81" spans="1:6">
      <c r="A81" s="1" t="s">
        <v>239</v>
      </c>
      <c r="B81" s="1" t="str">
        <f>'NPC NT'!C23</f>
        <v>Leporillus apicalis</v>
      </c>
      <c r="C81" s="5">
        <f>'NPC NT'!H23</f>
        <v>133.86000000000001</v>
      </c>
      <c r="D81" s="5">
        <v>-25.96</v>
      </c>
      <c r="E81" s="11">
        <f>'NPC NT'!J23</f>
        <v>31617</v>
      </c>
    </row>
    <row r="82" spans="1:6">
      <c r="A82" s="1" t="s">
        <v>239</v>
      </c>
      <c r="B82" s="1" t="str">
        <f>'NPC NT'!C3</f>
        <v>Leporillus apicalis</v>
      </c>
      <c r="C82" s="5">
        <f>'NPC NT'!H3</f>
        <v>133.88999999999999</v>
      </c>
      <c r="D82" s="5">
        <v>-23.64</v>
      </c>
      <c r="E82" s="11">
        <f>'NPC NT'!J3</f>
        <v>31976</v>
      </c>
    </row>
    <row r="83" spans="1:6">
      <c r="A83" s="1" t="s">
        <v>239</v>
      </c>
      <c r="B83" s="1" t="str">
        <f>'NPC NT'!C24</f>
        <v>Leporillus apicalis</v>
      </c>
      <c r="C83" s="5">
        <f>'NPC NT'!H24</f>
        <v>133.9</v>
      </c>
      <c r="D83" s="5">
        <v>-25.98</v>
      </c>
      <c r="E83" s="11">
        <f>'NPC NT'!J24</f>
        <v>31617</v>
      </c>
    </row>
    <row r="84" spans="1:6">
      <c r="A84" s="1" t="s">
        <v>239</v>
      </c>
      <c r="B84" s="1" t="str">
        <f>'NPC NT'!C4</f>
        <v>Leporillus apicalis</v>
      </c>
      <c r="C84" s="5">
        <f>'NPC NT'!H4</f>
        <v>133.97</v>
      </c>
      <c r="D84" s="5">
        <v>-23.74</v>
      </c>
      <c r="E84" s="11">
        <f>'NPC NT'!J4</f>
        <v>31829</v>
      </c>
    </row>
    <row r="85" spans="1:6">
      <c r="A85" s="1" t="s">
        <v>239</v>
      </c>
      <c r="B85" s="1" t="str">
        <f>'NPC NT'!C5</f>
        <v>Leporillus apicalis</v>
      </c>
      <c r="C85" s="5">
        <f>'NPC NT'!H5</f>
        <v>134.33000000000001</v>
      </c>
      <c r="D85" s="5">
        <v>-23.66</v>
      </c>
      <c r="E85" s="11">
        <f>'NPC NT'!J5</f>
        <v>31923</v>
      </c>
      <c r="F85" t="s">
        <v>765</v>
      </c>
    </row>
    <row r="86" spans="1:6">
      <c r="A86" s="1" t="s">
        <v>239</v>
      </c>
      <c r="B86" s="1" t="str">
        <f>'NPC NT'!C6</f>
        <v>Leporillus apicalis</v>
      </c>
      <c r="C86" s="5">
        <f>'NPC NT'!H6</f>
        <v>134.43</v>
      </c>
      <c r="D86" s="5">
        <v>-23.63</v>
      </c>
      <c r="E86" s="11">
        <f>'NPC NT'!J6</f>
        <v>31941</v>
      </c>
    </row>
    <row r="87" spans="1:6">
      <c r="A87" s="1" t="s">
        <v>239</v>
      </c>
      <c r="B87" s="1" t="str">
        <f>'NPC NT'!C7</f>
        <v>Leporillus apicalis</v>
      </c>
      <c r="C87" s="5">
        <f>'NPC NT'!H7</f>
        <v>134.72999999999999</v>
      </c>
      <c r="D87" s="5">
        <v>-23.44</v>
      </c>
      <c r="E87" s="11">
        <f>'NPC NT'!J7</f>
        <v>31913</v>
      </c>
    </row>
    <row r="88" spans="1:6">
      <c r="A88" s="1" t="s">
        <v>239</v>
      </c>
      <c r="B88" s="1" t="str">
        <f>'NPC NT'!C8</f>
        <v>Leporillus apicalis</v>
      </c>
      <c r="C88" s="5">
        <f>'NPC NT'!H8</f>
        <v>134.80000000000001</v>
      </c>
      <c r="D88" s="5">
        <v>-23.7</v>
      </c>
      <c r="E88" s="11">
        <f>'NPC NT'!J8</f>
        <v>31571</v>
      </c>
    </row>
    <row r="89" spans="1:6">
      <c r="A89" s="1" t="s">
        <v>239</v>
      </c>
      <c r="B89" s="1" t="str">
        <f>'NPC NT'!C9</f>
        <v>Leporillus apicalis</v>
      </c>
      <c r="C89" s="5">
        <f>'NPC NT'!H9</f>
        <v>134.88</v>
      </c>
      <c r="D89" s="5">
        <v>-22.35</v>
      </c>
      <c r="E89" s="11">
        <f>'NPC NT'!J9</f>
        <v>31847</v>
      </c>
    </row>
    <row r="90" spans="1:6">
      <c r="A90" s="1" t="s">
        <v>239</v>
      </c>
      <c r="B90" s="1" t="str">
        <f>'NPC NT'!C10</f>
        <v>Leporillus apicalis</v>
      </c>
      <c r="C90" s="5">
        <f>'NPC NT'!H10</f>
        <v>135.01</v>
      </c>
      <c r="D90" s="5">
        <v>-23.56</v>
      </c>
      <c r="E90" s="11" t="str">
        <f>'NPC NT'!J10</f>
        <v>00/08/1989</v>
      </c>
    </row>
    <row r="91" spans="1:6">
      <c r="A91" s="1" t="s">
        <v>239</v>
      </c>
      <c r="B91" s="1" t="str">
        <f>'NPC NT'!C11</f>
        <v>Leporillus apicalis</v>
      </c>
      <c r="C91" s="5">
        <f>'NPC NT'!H11</f>
        <v>135.08000000000001</v>
      </c>
      <c r="D91" s="5">
        <v>-22.78</v>
      </c>
      <c r="E91" s="11">
        <f>'NPC NT'!J11</f>
        <v>31846</v>
      </c>
    </row>
    <row r="92" spans="1:6">
      <c r="A92" s="1" t="s">
        <v>239</v>
      </c>
      <c r="B92" s="1" t="str">
        <f>'NPC NT'!C25</f>
        <v>Leporillus apicalis</v>
      </c>
      <c r="C92" s="5">
        <f>'NPC NT'!H25</f>
        <v>135.75</v>
      </c>
      <c r="D92" s="5">
        <v>-24.56</v>
      </c>
      <c r="E92" s="11">
        <f>'NPC NT'!J25</f>
        <v>31352</v>
      </c>
    </row>
    <row r="93" spans="1:6">
      <c r="A93" s="7">
        <v>12684</v>
      </c>
      <c r="B93" s="7" t="s">
        <v>237</v>
      </c>
      <c r="C93" s="5">
        <v>136.16666000000001</v>
      </c>
      <c r="D93" s="5">
        <v>-33.433340000000001</v>
      </c>
      <c r="F93" t="s">
        <v>766</v>
      </c>
    </row>
    <row r="94" spans="1:6">
      <c r="A94" s="7" t="s">
        <v>239</v>
      </c>
      <c r="B94" s="7" t="str">
        <f>'NPC NT'!C12</f>
        <v>Leporillus apicalis</v>
      </c>
      <c r="C94" s="5">
        <f>'NPC NT'!H12</f>
        <v>137.16</v>
      </c>
      <c r="D94" s="5">
        <v>-23.85</v>
      </c>
      <c r="E94" s="11">
        <f>'NPC NT'!J12</f>
        <v>31119</v>
      </c>
    </row>
    <row r="95" spans="1:6">
      <c r="A95" s="7" t="s">
        <v>239</v>
      </c>
      <c r="B95" s="7" t="str">
        <f>'NPC NT'!C13</f>
        <v>Leporillus apicalis</v>
      </c>
      <c r="C95" s="5">
        <f>'NPC NT'!H13</f>
        <v>137.18</v>
      </c>
      <c r="D95" s="5">
        <v>-23.83</v>
      </c>
      <c r="E95" s="11">
        <f>'NPC NT'!J13</f>
        <v>31119</v>
      </c>
    </row>
    <row r="96" spans="1:6">
      <c r="A96" s="7" t="s">
        <v>239</v>
      </c>
      <c r="B96" s="7" t="str">
        <f>'NPC NT'!C2</f>
        <v>Leporillus apicalis</v>
      </c>
      <c r="C96" s="5">
        <f>'NPC NT'!H2</f>
        <v>137.25</v>
      </c>
      <c r="D96" s="5">
        <v>-22</v>
      </c>
      <c r="E96" s="11">
        <f>'NPC NT'!J2</f>
        <v>35329</v>
      </c>
    </row>
    <row r="97" spans="1:6">
      <c r="A97" s="7" t="s">
        <v>239</v>
      </c>
      <c r="B97" s="7" t="str">
        <f>'NPC NT'!C14</f>
        <v>Leporillus apicalis</v>
      </c>
      <c r="C97" s="5">
        <f>'NPC NT'!H14</f>
        <v>137.25</v>
      </c>
      <c r="D97" s="5">
        <v>-22</v>
      </c>
      <c r="E97" s="11">
        <f>'NPC NT'!J14</f>
        <v>35329</v>
      </c>
    </row>
    <row r="98" spans="1:6">
      <c r="A98" s="7" t="s">
        <v>239</v>
      </c>
      <c r="B98" s="7" t="str">
        <f>'NPC NT'!C15</f>
        <v>Leporillus apicalis</v>
      </c>
      <c r="C98" s="5">
        <f>'NPC NT'!H15</f>
        <v>137.32</v>
      </c>
      <c r="D98" s="5">
        <v>-22</v>
      </c>
      <c r="E98" s="11">
        <f>'NPC NT'!J15</f>
        <v>35329</v>
      </c>
    </row>
    <row r="99" spans="1:6">
      <c r="A99" s="7">
        <v>12661</v>
      </c>
      <c r="B99" s="7" t="s">
        <v>237</v>
      </c>
      <c r="C99" s="5">
        <v>138.36666099999999</v>
      </c>
      <c r="D99" s="5">
        <v>-30.583334000000001</v>
      </c>
      <c r="F99" t="s">
        <v>767</v>
      </c>
    </row>
    <row r="100" spans="1:6">
      <c r="A100" s="7">
        <v>12659</v>
      </c>
      <c r="B100" s="7" t="s">
        <v>237</v>
      </c>
      <c r="C100" s="5">
        <v>139.28332900000001</v>
      </c>
      <c r="D100" s="5">
        <v>-30.966670000000001</v>
      </c>
    </row>
    <row r="101" spans="1:6">
      <c r="A101" s="7">
        <v>12688</v>
      </c>
      <c r="B101" s="7" t="s">
        <v>237</v>
      </c>
      <c r="C101" s="5">
        <v>142.166664</v>
      </c>
      <c r="D101" s="5">
        <v>-34.183342000000003</v>
      </c>
      <c r="F101" s="5"/>
    </row>
    <row r="102" spans="1:6">
      <c r="A102" s="7">
        <v>12575</v>
      </c>
      <c r="B102" s="7" t="s">
        <v>237</v>
      </c>
      <c r="C102" s="5">
        <v>142.18332599999999</v>
      </c>
      <c r="D102" s="5">
        <v>-34.166670000000003</v>
      </c>
    </row>
    <row r="103" spans="1:6">
      <c r="A103" s="12" t="s">
        <v>165</v>
      </c>
      <c r="B103" s="12" t="s">
        <v>167</v>
      </c>
      <c r="C103">
        <v>112.95</v>
      </c>
      <c r="D103" s="5">
        <v>-25.75</v>
      </c>
      <c r="E103" t="s">
        <v>768</v>
      </c>
    </row>
    <row r="104" spans="1:6">
      <c r="A104" s="12" t="s">
        <v>165</v>
      </c>
      <c r="B104" s="12" t="s">
        <v>167</v>
      </c>
      <c r="C104">
        <v>113.1</v>
      </c>
      <c r="D104" s="5">
        <v>-25.966999999999999</v>
      </c>
      <c r="E104" t="s">
        <v>769</v>
      </c>
    </row>
    <row r="105" spans="1:6">
      <c r="A105" s="12" t="s">
        <v>165</v>
      </c>
      <c r="B105" s="12" t="s">
        <v>167</v>
      </c>
      <c r="C105">
        <v>113.3</v>
      </c>
      <c r="D105" s="5">
        <v>-26.4</v>
      </c>
      <c r="E105" t="s">
        <v>725</v>
      </c>
    </row>
    <row r="106" spans="1:6">
      <c r="A106" s="12" t="s">
        <v>165</v>
      </c>
      <c r="B106" s="12" t="s">
        <v>167</v>
      </c>
      <c r="C106">
        <v>113.43300000000001</v>
      </c>
      <c r="D106" s="5">
        <v>-24.117000000000001</v>
      </c>
      <c r="E106" t="s">
        <v>726</v>
      </c>
    </row>
    <row r="107" spans="1:6">
      <c r="A107" s="12" t="s">
        <v>165</v>
      </c>
      <c r="B107" s="12" t="s">
        <v>167</v>
      </c>
      <c r="C107">
        <v>113.583</v>
      </c>
      <c r="D107" s="5">
        <v>-25.632999999999999</v>
      </c>
      <c r="E107" t="s">
        <v>727</v>
      </c>
    </row>
    <row r="108" spans="1:6">
      <c r="A108" s="12" t="s">
        <v>165</v>
      </c>
      <c r="B108" s="12" t="s">
        <v>167</v>
      </c>
      <c r="C108">
        <v>113.68300000000001</v>
      </c>
      <c r="D108" s="5">
        <v>-26.6</v>
      </c>
      <c r="E108" t="s">
        <v>728</v>
      </c>
    </row>
    <row r="109" spans="1:6">
      <c r="A109" s="12" t="s">
        <v>165</v>
      </c>
      <c r="B109" s="12" t="s">
        <v>167</v>
      </c>
      <c r="C109">
        <v>113.8</v>
      </c>
      <c r="D109" s="5">
        <v>-23.117000000000001</v>
      </c>
      <c r="E109" t="s">
        <v>729</v>
      </c>
    </row>
    <row r="110" spans="1:6">
      <c r="A110" s="12" t="s">
        <v>165</v>
      </c>
      <c r="B110" s="12" t="s">
        <v>167</v>
      </c>
      <c r="C110">
        <v>114.1</v>
      </c>
      <c r="D110" s="5">
        <v>-27.832999999999998</v>
      </c>
      <c r="E110" t="s">
        <v>770</v>
      </c>
    </row>
    <row r="111" spans="1:6">
      <c r="A111" s="12" t="s">
        <v>165</v>
      </c>
      <c r="B111" s="12" t="s">
        <v>167</v>
      </c>
      <c r="C111">
        <v>114.283</v>
      </c>
      <c r="D111" s="5">
        <v>-25.983000000000001</v>
      </c>
      <c r="E111" t="s">
        <v>735</v>
      </c>
    </row>
    <row r="112" spans="1:6">
      <c r="A112" s="12" t="s">
        <v>165</v>
      </c>
      <c r="B112" s="12" t="s">
        <v>167</v>
      </c>
      <c r="C112">
        <v>115.617</v>
      </c>
      <c r="D112" s="5">
        <v>-28.117000000000001</v>
      </c>
      <c r="E112" t="s">
        <v>739</v>
      </c>
    </row>
    <row r="113" spans="1:5">
      <c r="A113" s="12" t="s">
        <v>165</v>
      </c>
      <c r="B113" s="12" t="s">
        <v>167</v>
      </c>
      <c r="C113">
        <v>117.18300000000001</v>
      </c>
      <c r="D113" s="5">
        <v>-28.132999999999999</v>
      </c>
      <c r="E113" t="s">
        <v>743</v>
      </c>
    </row>
    <row r="114" spans="1:5">
      <c r="A114" s="12" t="s">
        <v>165</v>
      </c>
      <c r="B114" s="12" t="s">
        <v>167</v>
      </c>
      <c r="C114">
        <v>117.7</v>
      </c>
      <c r="D114" s="5">
        <v>-26.917000000000002</v>
      </c>
      <c r="E114" t="s">
        <v>745</v>
      </c>
    </row>
    <row r="115" spans="1:5">
      <c r="A115" s="12" t="s">
        <v>165</v>
      </c>
      <c r="B115" s="12" t="s">
        <v>167</v>
      </c>
      <c r="C115">
        <v>118.31699999999999</v>
      </c>
      <c r="D115" s="5">
        <v>-29.016999999999999</v>
      </c>
      <c r="E115" t="s">
        <v>771</v>
      </c>
    </row>
    <row r="116" spans="1:5">
      <c r="A116" s="12" t="s">
        <v>165</v>
      </c>
      <c r="B116" s="12" t="s">
        <v>167</v>
      </c>
      <c r="C116">
        <v>119.367</v>
      </c>
      <c r="D116" s="5">
        <v>-29.367000000000001</v>
      </c>
      <c r="E116" t="s">
        <v>749</v>
      </c>
    </row>
    <row r="117" spans="1:5">
      <c r="A117" s="12" t="s">
        <v>165</v>
      </c>
      <c r="B117" s="12" t="s">
        <v>167</v>
      </c>
      <c r="C117">
        <v>120.3</v>
      </c>
      <c r="D117" s="5">
        <v>-28.117000000000001</v>
      </c>
      <c r="E117" t="s">
        <v>752</v>
      </c>
    </row>
    <row r="118" spans="1:5">
      <c r="A118" s="12" t="s">
        <v>165</v>
      </c>
      <c r="B118" s="12" t="s">
        <v>167</v>
      </c>
      <c r="C118">
        <v>121.31699999999999</v>
      </c>
      <c r="D118" s="5">
        <v>-30.9</v>
      </c>
      <c r="E118" t="s">
        <v>772</v>
      </c>
    </row>
    <row r="119" spans="1:5">
      <c r="A119" s="12" t="s">
        <v>165</v>
      </c>
      <c r="B119" s="12" t="s">
        <v>167</v>
      </c>
      <c r="C119">
        <v>121.633</v>
      </c>
      <c r="D119" s="5">
        <v>-29.516999999999999</v>
      </c>
      <c r="E119" t="s">
        <v>755</v>
      </c>
    </row>
    <row r="120" spans="1:5">
      <c r="A120" s="6">
        <v>12708</v>
      </c>
      <c r="B120" s="4" t="s">
        <v>167</v>
      </c>
      <c r="C120" s="2">
        <v>125.33332500009357</v>
      </c>
      <c r="D120" s="2">
        <v>-31.066672912338699</v>
      </c>
    </row>
    <row r="121" spans="1:5">
      <c r="A121" s="6">
        <v>12787</v>
      </c>
      <c r="B121" s="4" t="s">
        <v>167</v>
      </c>
      <c r="C121" s="2">
        <v>125.86665715174163</v>
      </c>
      <c r="D121" s="2">
        <v>-31.983336964763954</v>
      </c>
    </row>
    <row r="122" spans="1:5">
      <c r="A122" s="6">
        <v>12679</v>
      </c>
      <c r="B122" s="4" t="s">
        <v>167</v>
      </c>
      <c r="C122" s="2">
        <v>125.88332589087337</v>
      </c>
      <c r="D122" s="2">
        <v>-32.216670195722415</v>
      </c>
    </row>
    <row r="123" spans="1:5">
      <c r="A123" s="6">
        <v>12739</v>
      </c>
      <c r="B123" s="4" t="s">
        <v>167</v>
      </c>
      <c r="C123" s="2">
        <v>125.91666592057311</v>
      </c>
      <c r="D123" s="2">
        <v>-31.966669920192786</v>
      </c>
    </row>
    <row r="124" spans="1:5">
      <c r="A124" s="3">
        <v>12789</v>
      </c>
      <c r="B124" s="4" t="s">
        <v>167</v>
      </c>
      <c r="C124" s="2">
        <v>126.03332736910907</v>
      </c>
      <c r="D124" s="2">
        <v>-32.050003190943805</v>
      </c>
    </row>
    <row r="125" spans="1:5">
      <c r="A125" s="3">
        <v>12714</v>
      </c>
      <c r="B125" s="4" t="s">
        <v>167</v>
      </c>
      <c r="C125" s="2">
        <v>126.03332882986672</v>
      </c>
      <c r="D125" s="2">
        <v>-32.06667451851645</v>
      </c>
    </row>
    <row r="126" spans="1:5">
      <c r="A126" s="3">
        <v>12712</v>
      </c>
      <c r="B126" s="4" t="s">
        <v>167</v>
      </c>
      <c r="C126" s="2">
        <v>126.18332362765844</v>
      </c>
      <c r="D126" s="2">
        <v>-32.033337926136866</v>
      </c>
    </row>
    <row r="127" spans="1:5">
      <c r="A127" s="3">
        <v>12740</v>
      </c>
      <c r="B127" s="4" t="s">
        <v>167</v>
      </c>
      <c r="C127" s="2">
        <v>126.49998998843144</v>
      </c>
      <c r="D127" s="2">
        <v>-31.983339645420322</v>
      </c>
    </row>
    <row r="128" spans="1:5">
      <c r="A128" s="3">
        <v>12726</v>
      </c>
      <c r="B128" s="4" t="s">
        <v>167</v>
      </c>
      <c r="C128" s="2">
        <v>126.73332634405332</v>
      </c>
      <c r="D128" s="2">
        <v>-31.850007684654891</v>
      </c>
    </row>
    <row r="129" spans="1:4">
      <c r="A129" s="3">
        <v>12720</v>
      </c>
      <c r="B129" s="4" t="s">
        <v>167</v>
      </c>
      <c r="C129" s="2">
        <v>126.79999323297812</v>
      </c>
      <c r="D129" s="2">
        <v>-31.033333942613755</v>
      </c>
    </row>
    <row r="130" spans="1:4">
      <c r="A130" s="3">
        <v>12724</v>
      </c>
      <c r="B130" s="4" t="s">
        <v>167</v>
      </c>
      <c r="C130" s="2">
        <v>127.01666131600247</v>
      </c>
      <c r="D130" s="2">
        <v>-31.750007232882069</v>
      </c>
    </row>
    <row r="131" spans="1:4">
      <c r="A131" s="3">
        <v>12728</v>
      </c>
      <c r="B131" s="4" t="s">
        <v>167</v>
      </c>
      <c r="C131" s="2">
        <v>127.03332457729357</v>
      </c>
      <c r="D131" s="2">
        <v>-31.966673172226823</v>
      </c>
    </row>
    <row r="132" spans="1:4">
      <c r="A132" s="3">
        <v>12786</v>
      </c>
      <c r="B132" s="4" t="s">
        <v>167</v>
      </c>
      <c r="C132" s="2">
        <v>127.03332876663272</v>
      </c>
      <c r="D132" s="2">
        <v>-31.983341211053684</v>
      </c>
    </row>
    <row r="133" spans="1:4">
      <c r="A133" s="3">
        <v>12742</v>
      </c>
      <c r="B133" s="4" t="s">
        <v>167</v>
      </c>
      <c r="C133" s="2">
        <v>127.06665795023805</v>
      </c>
      <c r="D133" s="2">
        <v>-30.966666761633562</v>
      </c>
    </row>
    <row r="134" spans="1:4">
      <c r="A134" s="3">
        <v>12748</v>
      </c>
      <c r="B134" s="4" t="s">
        <v>167</v>
      </c>
      <c r="C134" s="2">
        <v>127.18333042201293</v>
      </c>
      <c r="D134" s="2">
        <v>-31.433337192970523</v>
      </c>
    </row>
    <row r="135" spans="1:4">
      <c r="A135" s="3">
        <v>12765</v>
      </c>
      <c r="B135" s="4" t="s">
        <v>167</v>
      </c>
      <c r="C135" s="2">
        <v>127.23332893757382</v>
      </c>
      <c r="D135" s="2">
        <v>-31.6666743406835</v>
      </c>
    </row>
    <row r="136" spans="1:4">
      <c r="A136" s="3">
        <v>12764</v>
      </c>
      <c r="B136" s="4" t="s">
        <v>167</v>
      </c>
      <c r="C136" s="2">
        <v>127.23333085592573</v>
      </c>
      <c r="D136" s="2">
        <v>-31.716673802217635</v>
      </c>
    </row>
    <row r="137" spans="1:4">
      <c r="A137" s="3">
        <v>12741</v>
      </c>
      <c r="B137" s="4" t="s">
        <v>167</v>
      </c>
      <c r="C137" s="2">
        <v>127.2333316265471</v>
      </c>
      <c r="D137" s="2">
        <v>-31.566674443270795</v>
      </c>
    </row>
    <row r="138" spans="1:4">
      <c r="A138" s="3">
        <v>12696</v>
      </c>
      <c r="B138" s="4" t="s">
        <v>167</v>
      </c>
      <c r="C138" s="2">
        <v>127.43332620260664</v>
      </c>
      <c r="D138" s="2">
        <v>-31.650000943509845</v>
      </c>
    </row>
    <row r="139" spans="1:4">
      <c r="A139" s="3">
        <v>12722</v>
      </c>
      <c r="B139" s="4" t="s">
        <v>167</v>
      </c>
      <c r="C139" s="2">
        <v>127.43332620260664</v>
      </c>
      <c r="D139" s="2">
        <v>-31.650000943509845</v>
      </c>
    </row>
    <row r="140" spans="1:4">
      <c r="A140" s="3">
        <v>12719</v>
      </c>
      <c r="B140" s="4" t="s">
        <v>167</v>
      </c>
      <c r="C140" s="2">
        <v>127.71666062389029</v>
      </c>
      <c r="D140" s="2">
        <v>-31.83333477294163</v>
      </c>
    </row>
    <row r="141" spans="1:4">
      <c r="A141" s="3">
        <v>12751</v>
      </c>
      <c r="B141" s="4" t="s">
        <v>167</v>
      </c>
      <c r="C141" s="2">
        <v>127.71666116878031</v>
      </c>
      <c r="D141" s="2">
        <v>-31.683340805906472</v>
      </c>
    </row>
    <row r="142" spans="1:4">
      <c r="A142" s="3">
        <v>12769</v>
      </c>
      <c r="B142" s="4" t="s">
        <v>167</v>
      </c>
      <c r="C142" s="2">
        <v>127.79999437308508</v>
      </c>
      <c r="D142" s="2">
        <v>-31.775005300990752</v>
      </c>
    </row>
    <row r="143" spans="1:4">
      <c r="A143" s="3">
        <v>12717</v>
      </c>
      <c r="B143" s="4" t="s">
        <v>167</v>
      </c>
      <c r="C143" s="2">
        <v>127.79999638903517</v>
      </c>
      <c r="D143" s="2">
        <v>-31.766669713229184</v>
      </c>
    </row>
    <row r="144" spans="1:4">
      <c r="A144" s="3">
        <v>12782</v>
      </c>
      <c r="B144" s="4" t="s">
        <v>167</v>
      </c>
      <c r="C144" s="2">
        <v>127.79999638903517</v>
      </c>
      <c r="D144" s="2">
        <v>-31.766669713229184</v>
      </c>
    </row>
    <row r="145" spans="1:6">
      <c r="A145" s="3">
        <v>12745</v>
      </c>
      <c r="B145" s="4" t="s">
        <v>167</v>
      </c>
      <c r="C145" s="2">
        <v>127.86665757613356</v>
      </c>
      <c r="D145" s="2">
        <v>-31.433338723018377</v>
      </c>
    </row>
    <row r="146" spans="1:6">
      <c r="A146" s="3">
        <v>12761</v>
      </c>
      <c r="B146" s="4" t="s">
        <v>167</v>
      </c>
      <c r="C146" s="2">
        <v>127.94999560222529</v>
      </c>
      <c r="D146" s="2">
        <v>-31.166670780983626</v>
      </c>
    </row>
    <row r="147" spans="1:6">
      <c r="A147" s="3">
        <v>12744</v>
      </c>
      <c r="B147" s="4" t="s">
        <v>167</v>
      </c>
      <c r="C147" s="2">
        <v>128.48332416590603</v>
      </c>
      <c r="D147" s="2">
        <v>-31.666673342579919</v>
      </c>
      <c r="F147" t="s">
        <v>773</v>
      </c>
    </row>
    <row r="148" spans="1:6">
      <c r="A148" s="3">
        <v>12746</v>
      </c>
      <c r="B148" s="4" t="s">
        <v>167</v>
      </c>
      <c r="C148" s="2">
        <v>128.48332778339648</v>
      </c>
      <c r="D148" s="2">
        <v>-31.250001740621826</v>
      </c>
    </row>
    <row r="149" spans="1:6">
      <c r="A149" s="3">
        <v>12756</v>
      </c>
      <c r="B149" s="4" t="s">
        <v>167</v>
      </c>
      <c r="C149" s="2">
        <v>128.48332947992145</v>
      </c>
      <c r="D149" s="2">
        <v>-31.700000876470028</v>
      </c>
    </row>
    <row r="150" spans="1:6">
      <c r="A150" s="3">
        <v>12754</v>
      </c>
      <c r="B150" s="4" t="s">
        <v>167</v>
      </c>
      <c r="C150" s="2">
        <v>128.48333202306591</v>
      </c>
      <c r="D150" s="2">
        <v>-31.716673600125294</v>
      </c>
    </row>
    <row r="151" spans="1:6">
      <c r="A151" s="3">
        <v>12784</v>
      </c>
      <c r="B151" s="4" t="s">
        <v>167</v>
      </c>
      <c r="C151" s="2">
        <v>128.48333204168273</v>
      </c>
      <c r="D151" s="2">
        <v>-31.650000531334182</v>
      </c>
    </row>
    <row r="152" spans="1:6">
      <c r="A152" s="3">
        <v>12752</v>
      </c>
      <c r="B152" s="4" t="s">
        <v>167</v>
      </c>
      <c r="C152" s="2">
        <v>128.58333146886292</v>
      </c>
      <c r="D152" s="2">
        <v>-31.400005043494403</v>
      </c>
    </row>
    <row r="153" spans="1:6">
      <c r="A153" s="3">
        <v>13238</v>
      </c>
      <c r="B153" s="4" t="s">
        <v>167</v>
      </c>
      <c r="C153" s="2">
        <v>128.66666143104169</v>
      </c>
      <c r="D153" s="2">
        <v>-30.483338101848702</v>
      </c>
    </row>
    <row r="154" spans="1:6">
      <c r="A154" s="12" t="s">
        <v>165</v>
      </c>
      <c r="B154" s="12" t="s">
        <v>167</v>
      </c>
      <c r="C154">
        <v>128.667</v>
      </c>
      <c r="D154" s="5">
        <v>-30.483000000000001</v>
      </c>
      <c r="E154" t="s">
        <v>774</v>
      </c>
    </row>
    <row r="155" spans="1:6">
      <c r="A155" s="3">
        <v>12763</v>
      </c>
      <c r="B155" s="4" t="s">
        <v>167</v>
      </c>
      <c r="C155" s="2">
        <v>128.74998967975071</v>
      </c>
      <c r="D155" s="2">
        <v>-31.066674992483581</v>
      </c>
    </row>
    <row r="156" spans="1:6">
      <c r="A156" s="3">
        <v>12760</v>
      </c>
      <c r="B156" s="4" t="s">
        <v>167</v>
      </c>
      <c r="C156" s="2">
        <v>129.03333021296604</v>
      </c>
      <c r="D156" s="2">
        <v>-31.683341528055401</v>
      </c>
    </row>
    <row r="157" spans="1:6">
      <c r="A157" s="3">
        <v>12758</v>
      </c>
      <c r="B157" s="4" t="s">
        <v>167</v>
      </c>
      <c r="C157" s="2">
        <v>129.09999897198571</v>
      </c>
      <c r="D157" s="2">
        <v>-31.533337490179314</v>
      </c>
    </row>
    <row r="158" spans="1:6">
      <c r="A158" s="3">
        <v>12677</v>
      </c>
      <c r="B158" s="4" t="s">
        <v>167</v>
      </c>
      <c r="C158" s="2">
        <v>129.24999737521688</v>
      </c>
      <c r="D158" s="2">
        <v>-29.750005231182612</v>
      </c>
    </row>
    <row r="159" spans="1:6">
      <c r="A159" s="3">
        <v>12646</v>
      </c>
      <c r="B159" s="4" t="s">
        <v>167</v>
      </c>
      <c r="C159" s="2">
        <v>129.83332690118078</v>
      </c>
      <c r="D159" s="2">
        <v>-31.400003850662603</v>
      </c>
    </row>
    <row r="160" spans="1:6">
      <c r="A160" s="3">
        <v>12645</v>
      </c>
      <c r="B160" s="4" t="s">
        <v>167</v>
      </c>
      <c r="C160" s="2">
        <v>129.91665993942641</v>
      </c>
      <c r="D160" s="2">
        <v>-31.500003674349536</v>
      </c>
    </row>
    <row r="161" spans="1:6">
      <c r="A161" s="3">
        <v>12767</v>
      </c>
      <c r="B161" s="4" t="s">
        <v>167</v>
      </c>
      <c r="C161" s="2">
        <v>130.96666169629589</v>
      </c>
      <c r="D161" s="2">
        <v>-30.550008029157617</v>
      </c>
    </row>
    <row r="162" spans="1:6">
      <c r="A162" s="3">
        <v>12689</v>
      </c>
      <c r="B162" s="4" t="s">
        <v>167</v>
      </c>
      <c r="C162" s="2">
        <v>131.24999292928266</v>
      </c>
      <c r="D162" s="2">
        <v>-30.25000357260447</v>
      </c>
      <c r="F162" t="s">
        <v>775</v>
      </c>
    </row>
    <row r="163" spans="1:6">
      <c r="A163" s="3">
        <v>12692</v>
      </c>
      <c r="B163" s="4" t="s">
        <v>167</v>
      </c>
      <c r="C163" s="2">
        <v>131.24999365145518</v>
      </c>
      <c r="D163" s="2">
        <v>-30.583341422105857</v>
      </c>
    </row>
    <row r="164" spans="1:6">
      <c r="A164" s="3">
        <v>12693</v>
      </c>
      <c r="B164" s="4" t="s">
        <v>167</v>
      </c>
      <c r="C164" s="2">
        <v>131.24999365145518</v>
      </c>
      <c r="D164" s="2">
        <v>-30.583341422105857</v>
      </c>
    </row>
    <row r="165" spans="1:6">
      <c r="A165" s="3">
        <v>12699</v>
      </c>
      <c r="B165" s="4" t="s">
        <v>167</v>
      </c>
      <c r="C165" s="2">
        <v>131.24999365145518</v>
      </c>
      <c r="D165" s="2">
        <v>-30.583341422105857</v>
      </c>
    </row>
    <row r="166" spans="1:6">
      <c r="A166" s="3">
        <v>12766</v>
      </c>
      <c r="B166" s="4" t="s">
        <v>167</v>
      </c>
      <c r="C166" s="2">
        <v>131.24999365145518</v>
      </c>
      <c r="D166" s="2">
        <v>-30.583341422105857</v>
      </c>
    </row>
    <row r="167" spans="1:6">
      <c r="A167" s="3">
        <v>12690</v>
      </c>
      <c r="B167" s="4" t="s">
        <v>167</v>
      </c>
      <c r="C167" s="2">
        <v>131.66665895522669</v>
      </c>
      <c r="D167" s="2">
        <v>-30.450002674936943</v>
      </c>
    </row>
    <row r="168" spans="1:6">
      <c r="A168" s="3">
        <v>12691</v>
      </c>
      <c r="B168" s="4" t="s">
        <v>167</v>
      </c>
      <c r="C168" s="2">
        <v>131.66665895522669</v>
      </c>
      <c r="D168" s="2">
        <v>-30.450002674936943</v>
      </c>
    </row>
    <row r="169" spans="1:6">
      <c r="A169" s="3">
        <v>12736</v>
      </c>
      <c r="B169" s="4" t="s">
        <v>167</v>
      </c>
      <c r="C169" s="2">
        <v>131.66665895522669</v>
      </c>
      <c r="D169" s="2">
        <v>-30.450002674936943</v>
      </c>
    </row>
    <row r="170" spans="1:6">
      <c r="A170" s="3">
        <v>12873</v>
      </c>
      <c r="B170" s="4" t="s">
        <v>167</v>
      </c>
      <c r="C170" s="2">
        <v>131.66666552269083</v>
      </c>
      <c r="D170" s="2">
        <v>-30.466669955720231</v>
      </c>
    </row>
    <row r="171" spans="1:6">
      <c r="A171" s="7">
        <v>12655</v>
      </c>
      <c r="B171" s="7" t="s">
        <v>167</v>
      </c>
      <c r="C171" s="5">
        <v>133.64999399999999</v>
      </c>
      <c r="D171" s="5">
        <v>-32.450006999999999</v>
      </c>
    </row>
    <row r="172" spans="1:6">
      <c r="A172" s="7">
        <v>12662</v>
      </c>
      <c r="B172" s="7" t="s">
        <v>167</v>
      </c>
      <c r="C172" s="5">
        <v>133.666664</v>
      </c>
      <c r="D172" s="5">
        <v>-32.450004</v>
      </c>
    </row>
    <row r="173" spans="1:6">
      <c r="A173" s="7">
        <v>12663</v>
      </c>
      <c r="B173" s="7" t="s">
        <v>167</v>
      </c>
      <c r="C173" s="5">
        <v>133.666664</v>
      </c>
      <c r="D173" s="5">
        <v>-32.450004</v>
      </c>
    </row>
    <row r="174" spans="1:6">
      <c r="A174" s="7">
        <v>12999</v>
      </c>
      <c r="B174" s="7" t="s">
        <v>167</v>
      </c>
      <c r="C174" s="5">
        <v>133.666664</v>
      </c>
      <c r="D174" s="5">
        <v>-32.450004</v>
      </c>
    </row>
    <row r="175" spans="1:6">
      <c r="A175" s="7">
        <v>12568</v>
      </c>
      <c r="B175" s="7" t="s">
        <v>167</v>
      </c>
      <c r="C175" s="5">
        <v>134.166662</v>
      </c>
      <c r="D175" s="5">
        <v>-27.966674999999999</v>
      </c>
      <c r="E175" t="s">
        <v>776</v>
      </c>
    </row>
    <row r="176" spans="1:6">
      <c r="A176" s="7">
        <v>12733</v>
      </c>
      <c r="B176" s="7" t="s">
        <v>167</v>
      </c>
      <c r="C176" s="5">
        <v>136.26665800000001</v>
      </c>
      <c r="D176" s="5">
        <v>-34.516666999999998</v>
      </c>
    </row>
    <row r="177" spans="1:6">
      <c r="A177" s="7">
        <v>12657</v>
      </c>
      <c r="B177" s="7" t="s">
        <v>167</v>
      </c>
      <c r="C177" s="5">
        <v>136.99999600000001</v>
      </c>
      <c r="D177" s="5">
        <v>-28.500004000000001</v>
      </c>
      <c r="F177" t="s">
        <v>777</v>
      </c>
    </row>
    <row r="178" spans="1:6">
      <c r="A178" s="7">
        <v>18472</v>
      </c>
      <c r="B178" s="7" t="s">
        <v>167</v>
      </c>
      <c r="C178" s="5">
        <v>138.37562500000001</v>
      </c>
      <c r="D178" s="5">
        <v>-30.258890999999998</v>
      </c>
    </row>
    <row r="179" spans="1:6">
      <c r="A179" s="7">
        <v>12660</v>
      </c>
      <c r="B179" s="7" t="s">
        <v>167</v>
      </c>
      <c r="C179" s="5">
        <v>138.41666599999999</v>
      </c>
      <c r="D179" s="5">
        <v>-30.550001000000002</v>
      </c>
      <c r="F179" t="s">
        <v>778</v>
      </c>
    </row>
    <row r="180" spans="1:6">
      <c r="A180" s="7">
        <v>18497</v>
      </c>
      <c r="B180" s="7" t="s">
        <v>167</v>
      </c>
      <c r="C180" s="5">
        <v>138.78248400000001</v>
      </c>
      <c r="D180" s="5">
        <v>-29.389538999999999</v>
      </c>
    </row>
    <row r="181" spans="1:6">
      <c r="A181" s="7">
        <v>114484</v>
      </c>
      <c r="B181" s="7" t="s">
        <v>167</v>
      </c>
      <c r="C181" s="5">
        <v>138.90346500000001</v>
      </c>
      <c r="D181" s="5">
        <v>-31.104990999999998</v>
      </c>
    </row>
    <row r="182" spans="1:6">
      <c r="A182" s="7">
        <v>114192</v>
      </c>
      <c r="B182" s="7" t="s">
        <v>167</v>
      </c>
      <c r="C182" s="5">
        <v>139.27306999999999</v>
      </c>
      <c r="D182" s="5">
        <v>-30.174112000000001</v>
      </c>
    </row>
    <row r="183" spans="1:6">
      <c r="A183" s="7">
        <v>12658</v>
      </c>
      <c r="B183" s="7" t="s">
        <v>167</v>
      </c>
      <c r="C183" s="5">
        <v>139.28332900000001</v>
      </c>
      <c r="D183" s="5">
        <v>-30.966670000000001</v>
      </c>
    </row>
    <row r="184" spans="1:6">
      <c r="A184" s="7">
        <v>12572</v>
      </c>
      <c r="B184" s="7" t="s">
        <v>167</v>
      </c>
      <c r="C184" s="5">
        <v>141.94999300000001</v>
      </c>
      <c r="D184" s="5">
        <v>-33.950004</v>
      </c>
    </row>
    <row r="185" spans="1:6">
      <c r="A185" s="7">
        <v>12573</v>
      </c>
      <c r="B185" s="7" t="s">
        <v>167</v>
      </c>
      <c r="C185" s="5">
        <v>141.94999300000001</v>
      </c>
      <c r="D185" s="5">
        <v>-33.950004</v>
      </c>
    </row>
    <row r="186" spans="1:6">
      <c r="A186" s="7">
        <v>12574</v>
      </c>
      <c r="B186" s="7" t="s">
        <v>167</v>
      </c>
      <c r="C186" s="5">
        <v>141.94999300000001</v>
      </c>
      <c r="D186" s="5">
        <v>-33.950004</v>
      </c>
    </row>
    <row r="187" spans="1:6">
      <c r="A187" s="7">
        <v>12576</v>
      </c>
      <c r="B187" s="7" t="s">
        <v>167</v>
      </c>
      <c r="C187" s="5">
        <v>142.333324</v>
      </c>
      <c r="D187" s="5">
        <v>-32.666671999999998</v>
      </c>
    </row>
    <row r="188" spans="1:6">
      <c r="A188" s="7" t="s">
        <v>159</v>
      </c>
      <c r="B188" s="7" t="s">
        <v>160</v>
      </c>
      <c r="C188" s="5">
        <v>134.33331999999999</v>
      </c>
      <c r="D188" s="5">
        <v>-23.61664</v>
      </c>
      <c r="E188" t="s">
        <v>779</v>
      </c>
      <c r="F188" t="s">
        <v>765</v>
      </c>
    </row>
    <row r="189" spans="1:6">
      <c r="A189" s="7" t="s">
        <v>159</v>
      </c>
      <c r="B189" s="7" t="s">
        <v>160</v>
      </c>
      <c r="C189" s="5">
        <v>134.39998</v>
      </c>
      <c r="D189" s="5">
        <v>-23.2666</v>
      </c>
      <c r="E189" t="s">
        <v>780</v>
      </c>
    </row>
    <row r="190" spans="1:6">
      <c r="A190" s="7" t="s">
        <v>159</v>
      </c>
      <c r="B190" s="7" t="s">
        <v>160</v>
      </c>
      <c r="C190" s="5">
        <v>137.251667</v>
      </c>
      <c r="D190" s="5">
        <v>-22</v>
      </c>
      <c r="E190" t="s">
        <v>781</v>
      </c>
    </row>
    <row r="191" spans="1:6">
      <c r="A191" s="7" t="s">
        <v>159</v>
      </c>
      <c r="B191" s="7" t="s">
        <v>160</v>
      </c>
      <c r="C191" s="5">
        <v>137.32055600000001</v>
      </c>
      <c r="D191" s="5">
        <v>-22.004444444444399</v>
      </c>
      <c r="E191" t="s">
        <v>781</v>
      </c>
    </row>
    <row r="192" spans="1:6">
      <c r="A192" s="7" t="str">
        <f>FossilMiddens!A13</f>
        <v>Pearson2002</v>
      </c>
      <c r="B192" s="7" t="s">
        <v>161</v>
      </c>
      <c r="C192" s="5">
        <f>FossilMiddens!H13</f>
        <v>0</v>
      </c>
      <c r="D192" s="5">
        <f>FossilMiddens!I13</f>
        <v>0</v>
      </c>
    </row>
    <row r="193" spans="1:4">
      <c r="A193" s="7" t="str">
        <f>FossilMiddens!A16</f>
        <v>M0236</v>
      </c>
      <c r="B193" s="7" t="s">
        <v>161</v>
      </c>
      <c r="C193" s="5">
        <f>FossilMiddens!H16</f>
        <v>119.66666666666667</v>
      </c>
      <c r="D193" s="5">
        <f>FossilMiddens!I16</f>
        <v>-30.5</v>
      </c>
    </row>
    <row r="194" spans="1:4">
      <c r="A194" s="7" t="str">
        <f>FossilMiddens!A96</f>
        <v>MO1</v>
      </c>
      <c r="B194" s="7" t="s">
        <v>161</v>
      </c>
      <c r="C194" s="5">
        <f>FossilMiddens!H96</f>
        <v>119.66666666666667</v>
      </c>
      <c r="D194" s="5">
        <f>FossilMiddens!I96</f>
        <v>-30.5</v>
      </c>
    </row>
    <row r="195" spans="1:4">
      <c r="A195" s="7" t="str">
        <f>FossilMiddens!A64</f>
        <v>PTA121A</v>
      </c>
      <c r="B195" s="7" t="s">
        <v>161</v>
      </c>
      <c r="C195" s="5">
        <f>FossilMiddens!H64</f>
        <v>122.97694444444444</v>
      </c>
      <c r="D195" s="5">
        <f>FossilMiddens!I64</f>
        <v>-28.419722222222223</v>
      </c>
    </row>
    <row r="196" spans="1:4">
      <c r="A196" s="7" t="str">
        <f>FossilMiddens!A65</f>
        <v>PTA234b</v>
      </c>
      <c r="B196" s="7" t="s">
        <v>161</v>
      </c>
      <c r="C196" s="5">
        <f>FossilMiddens!H65</f>
        <v>122.97694444444444</v>
      </c>
      <c r="D196" s="5">
        <f>FossilMiddens!I65</f>
        <v>-28.419722222222223</v>
      </c>
    </row>
    <row r="197" spans="1:4">
      <c r="A197" s="7" t="str">
        <f>FossilMiddens!A78</f>
        <v>QVA312</v>
      </c>
      <c r="B197" s="7" t="s">
        <v>161</v>
      </c>
      <c r="C197" s="5">
        <f>FossilMiddens!H78</f>
        <v>123.26722222222222</v>
      </c>
      <c r="D197" s="5">
        <f>FossilMiddens!I78</f>
        <v>-30.328888888888887</v>
      </c>
    </row>
    <row r="198" spans="1:4">
      <c r="A198" s="7" t="str">
        <f>FossilMiddens!A79</f>
        <v>QVA464</v>
      </c>
      <c r="B198" s="7" t="s">
        <v>161</v>
      </c>
      <c r="C198" s="5">
        <f>FossilMiddens!H79</f>
        <v>123.26722222222222</v>
      </c>
      <c r="D198" s="5">
        <f>FossilMiddens!I79</f>
        <v>-30.328888888888887</v>
      </c>
    </row>
    <row r="199" spans="1:4">
      <c r="A199" s="7" t="str">
        <f>FossilMiddens!A80</f>
        <v>QVB107</v>
      </c>
      <c r="B199" s="7" t="s">
        <v>161</v>
      </c>
      <c r="C199" s="5">
        <f>FossilMiddens!H80</f>
        <v>123.26722222222222</v>
      </c>
      <c r="D199" s="5">
        <f>FossilMiddens!I80</f>
        <v>-30.328888888888887</v>
      </c>
    </row>
    <row r="200" spans="1:4">
      <c r="A200" s="7" t="str">
        <f>FossilMiddens!A81</f>
        <v>QVB37</v>
      </c>
      <c r="B200" s="7" t="s">
        <v>161</v>
      </c>
      <c r="C200" s="5">
        <f>FossilMiddens!H81</f>
        <v>123.26722222222222</v>
      </c>
      <c r="D200" s="5">
        <f>FossilMiddens!I81</f>
        <v>-30.328888888888887</v>
      </c>
    </row>
    <row r="201" spans="1:4">
      <c r="A201" s="7" t="str">
        <f>FossilMiddens!A82</f>
        <v>QVB37</v>
      </c>
      <c r="B201" s="7" t="s">
        <v>161</v>
      </c>
      <c r="C201" s="5">
        <f>FossilMiddens!H82</f>
        <v>123.26722222222222</v>
      </c>
      <c r="D201" s="5">
        <f>FossilMiddens!I82</f>
        <v>-30.328888888888887</v>
      </c>
    </row>
    <row r="202" spans="1:4">
      <c r="A202" s="7" t="str">
        <f>FossilMiddens!A20</f>
        <v>M0505</v>
      </c>
      <c r="B202" s="7" t="s">
        <v>161</v>
      </c>
      <c r="C202" s="5">
        <f>FossilMiddens!H20</f>
        <v>124.98333333333333</v>
      </c>
      <c r="D202" s="5">
        <f>FossilMiddens!I20</f>
        <v>-25.05</v>
      </c>
    </row>
    <row r="203" spans="1:4">
      <c r="A203" s="7" t="str">
        <f>FossilMiddens!A21</f>
        <v>M05170b</v>
      </c>
      <c r="B203" s="7" t="s">
        <v>161</v>
      </c>
      <c r="C203" s="5">
        <f>FossilMiddens!H21</f>
        <v>124.98333333333333</v>
      </c>
      <c r="D203" s="5">
        <f>FossilMiddens!I21</f>
        <v>-25.05</v>
      </c>
    </row>
    <row r="204" spans="1:4">
      <c r="A204" s="7" t="str">
        <f>FossilMiddens!A22</f>
        <v>M06</v>
      </c>
      <c r="B204" s="7" t="s">
        <v>161</v>
      </c>
      <c r="C204" s="5">
        <f>FossilMiddens!H22</f>
        <v>124.98333333333333</v>
      </c>
      <c r="D204" s="5">
        <f>FossilMiddens!I22</f>
        <v>-25.05</v>
      </c>
    </row>
    <row r="205" spans="1:4">
      <c r="A205" s="7" t="str">
        <f>FossilMiddens!A23</f>
        <v>M0652</v>
      </c>
      <c r="B205" s="7" t="s">
        <v>161</v>
      </c>
      <c r="C205" s="5">
        <f>FossilMiddens!H23</f>
        <v>124.98333333333333</v>
      </c>
      <c r="D205" s="5">
        <f>FossilMiddens!I23</f>
        <v>-25.05</v>
      </c>
    </row>
    <row r="206" spans="1:4">
      <c r="A206" s="7" t="str">
        <f>FossilMiddens!A24</f>
        <v>M07</v>
      </c>
      <c r="B206" s="7" t="s">
        <v>161</v>
      </c>
      <c r="C206" s="5">
        <f>FossilMiddens!H24</f>
        <v>124.98333333333333</v>
      </c>
      <c r="D206" s="5">
        <f>FossilMiddens!I24</f>
        <v>-25.05</v>
      </c>
    </row>
    <row r="207" spans="1:4">
      <c r="A207" s="7" t="str">
        <f>FossilMiddens!A25</f>
        <v>M07</v>
      </c>
      <c r="B207" s="7" t="s">
        <v>161</v>
      </c>
      <c r="C207" s="5">
        <f>FossilMiddens!H25</f>
        <v>124.98333333333333</v>
      </c>
      <c r="D207" s="5">
        <f>FossilMiddens!I25</f>
        <v>-25.05</v>
      </c>
    </row>
    <row r="208" spans="1:4">
      <c r="A208" s="6">
        <v>12622</v>
      </c>
      <c r="B208" s="4" t="s">
        <v>161</v>
      </c>
      <c r="C208" s="2">
        <v>124.9999945289191</v>
      </c>
      <c r="D208" s="2">
        <v>-25.066671958656542</v>
      </c>
    </row>
    <row r="209" spans="1:4">
      <c r="A209" s="6">
        <v>12623</v>
      </c>
      <c r="B209" s="4" t="s">
        <v>161</v>
      </c>
      <c r="C209" s="2">
        <v>125.06665702887992</v>
      </c>
      <c r="D209" s="2">
        <v>-25.183336997400581</v>
      </c>
    </row>
    <row r="210" spans="1:4">
      <c r="A210" s="6">
        <v>12624</v>
      </c>
      <c r="B210" s="4" t="s">
        <v>161</v>
      </c>
      <c r="C210" s="2">
        <v>125.29721833570987</v>
      </c>
      <c r="D210" s="2">
        <v>-25.550001401957275</v>
      </c>
    </row>
    <row r="211" spans="1:4">
      <c r="A211" s="6">
        <v>12711</v>
      </c>
      <c r="B211" s="4" t="s">
        <v>161</v>
      </c>
      <c r="C211" s="2">
        <v>125.3333303540751</v>
      </c>
      <c r="D211" s="2">
        <v>-31.016668112708739</v>
      </c>
    </row>
    <row r="212" spans="1:4">
      <c r="A212" s="6">
        <v>12628</v>
      </c>
      <c r="B212" s="4" t="s">
        <v>161</v>
      </c>
      <c r="C212" s="2">
        <v>125.41555376724865</v>
      </c>
      <c r="D212" s="2">
        <v>-26.961112555242494</v>
      </c>
    </row>
    <row r="213" spans="1:4">
      <c r="A213" s="6">
        <v>12598</v>
      </c>
      <c r="B213" s="4" t="s">
        <v>161</v>
      </c>
      <c r="C213" s="2">
        <v>125.49999846869389</v>
      </c>
      <c r="D213" s="2">
        <v>-25.716670659143855</v>
      </c>
    </row>
    <row r="214" spans="1:4">
      <c r="A214" s="6">
        <v>12625</v>
      </c>
      <c r="B214" s="4" t="s">
        <v>161</v>
      </c>
      <c r="C214" s="2">
        <v>125.54999282574879</v>
      </c>
      <c r="D214" s="2">
        <v>-25.247227329824295</v>
      </c>
    </row>
    <row r="215" spans="1:4">
      <c r="A215" s="6">
        <v>12593</v>
      </c>
      <c r="B215" s="4" t="s">
        <v>161</v>
      </c>
      <c r="C215" s="2">
        <v>125.54999364908331</v>
      </c>
      <c r="D215" s="2">
        <v>-25.650005663212461</v>
      </c>
    </row>
    <row r="216" spans="1:4">
      <c r="A216" s="6">
        <v>12673</v>
      </c>
      <c r="B216" s="4" t="s">
        <v>161</v>
      </c>
      <c r="C216" s="2">
        <v>125.58332539322357</v>
      </c>
      <c r="D216" s="2">
        <v>-25.05000248417204</v>
      </c>
    </row>
    <row r="217" spans="1:4">
      <c r="A217" s="6">
        <v>12649</v>
      </c>
      <c r="B217" s="4" t="s">
        <v>161</v>
      </c>
      <c r="C217" s="2">
        <v>125.61666569537789</v>
      </c>
      <c r="D217" s="2">
        <v>-27.100003909878268</v>
      </c>
    </row>
    <row r="218" spans="1:4">
      <c r="A218" s="6">
        <v>12629</v>
      </c>
      <c r="B218" s="4" t="s">
        <v>161</v>
      </c>
      <c r="C218" s="2">
        <v>125.6666570788952</v>
      </c>
      <c r="D218" s="2">
        <v>-26.850007105790201</v>
      </c>
    </row>
    <row r="219" spans="1:4">
      <c r="A219" s="6">
        <v>12651</v>
      </c>
      <c r="B219" s="4" t="s">
        <v>161</v>
      </c>
      <c r="C219" s="2">
        <v>125.6666570788952</v>
      </c>
      <c r="D219" s="2">
        <v>-26.850007105790201</v>
      </c>
    </row>
    <row r="220" spans="1:4">
      <c r="A220" s="6">
        <v>12595</v>
      </c>
      <c r="B220" s="4" t="s">
        <v>161</v>
      </c>
      <c r="C220" s="2">
        <v>125.86666517263507</v>
      </c>
      <c r="D220" s="2">
        <v>-26.60000359388658</v>
      </c>
    </row>
    <row r="221" spans="1:4">
      <c r="A221" s="9">
        <v>12626</v>
      </c>
      <c r="B221" s="10" t="s">
        <v>161</v>
      </c>
      <c r="C221" s="2">
        <v>125.93054814769393</v>
      </c>
      <c r="D221" s="2">
        <v>-25.772228340572386</v>
      </c>
    </row>
    <row r="222" spans="1:4">
      <c r="A222" s="9">
        <v>12681</v>
      </c>
      <c r="B222" s="10" t="s">
        <v>161</v>
      </c>
      <c r="C222" s="2">
        <v>125.94999782674233</v>
      </c>
      <c r="D222" s="2">
        <v>-26.783336069980294</v>
      </c>
    </row>
    <row r="223" spans="1:4">
      <c r="A223" s="9">
        <v>12704</v>
      </c>
      <c r="B223" s="10" t="s">
        <v>161</v>
      </c>
      <c r="C223" s="2">
        <v>125.96666280727479</v>
      </c>
      <c r="D223" s="2">
        <v>-26.050008780811122</v>
      </c>
    </row>
    <row r="224" spans="1:4">
      <c r="A224" s="8">
        <v>12596</v>
      </c>
      <c r="B224" s="10" t="s">
        <v>161</v>
      </c>
      <c r="C224" s="2">
        <v>126.01666007319861</v>
      </c>
      <c r="D224" s="2">
        <v>-26.516670009519153</v>
      </c>
    </row>
    <row r="225" spans="1:4">
      <c r="A225" s="8">
        <v>12631</v>
      </c>
      <c r="B225" s="10" t="s">
        <v>161</v>
      </c>
      <c r="C225" s="2">
        <v>126.01666007319861</v>
      </c>
      <c r="D225" s="2">
        <v>-26.516670009519153</v>
      </c>
    </row>
    <row r="226" spans="1:4">
      <c r="A226" s="8">
        <v>12650</v>
      </c>
      <c r="B226" s="10" t="s">
        <v>161</v>
      </c>
      <c r="C226" s="2">
        <v>126.08332714181746</v>
      </c>
      <c r="D226" s="2">
        <v>-28.30000836453808</v>
      </c>
    </row>
    <row r="227" spans="1:4">
      <c r="A227" s="8">
        <v>12627</v>
      </c>
      <c r="B227" s="10" t="s">
        <v>161</v>
      </c>
      <c r="C227" s="2">
        <v>126.19999008634227</v>
      </c>
      <c r="D227" s="2">
        <v>-25.750004369324941</v>
      </c>
    </row>
    <row r="228" spans="1:4">
      <c r="A228" s="8">
        <v>12632</v>
      </c>
      <c r="B228" s="10" t="s">
        <v>161</v>
      </c>
      <c r="C228" s="2">
        <v>126.29165677112783</v>
      </c>
      <c r="D228" s="2">
        <v>-27.000001245503221</v>
      </c>
    </row>
    <row r="229" spans="1:4">
      <c r="A229" s="8">
        <v>12635</v>
      </c>
      <c r="B229" s="10" t="s">
        <v>161</v>
      </c>
      <c r="C229" s="2">
        <v>126.36665913208772</v>
      </c>
      <c r="D229" s="2">
        <v>-27.050003408329328</v>
      </c>
    </row>
    <row r="230" spans="1:4">
      <c r="A230" s="8">
        <v>12597</v>
      </c>
      <c r="B230" s="10" t="s">
        <v>161</v>
      </c>
      <c r="C230" s="2">
        <v>126.3666631663169</v>
      </c>
      <c r="D230" s="2">
        <v>-26.833334655980345</v>
      </c>
    </row>
    <row r="231" spans="1:4">
      <c r="A231" s="8">
        <v>12633</v>
      </c>
      <c r="B231" s="10" t="s">
        <v>161</v>
      </c>
      <c r="C231" s="2">
        <v>126.38055490359483</v>
      </c>
      <c r="D231" s="2">
        <v>-26.831950495181164</v>
      </c>
    </row>
    <row r="232" spans="1:4">
      <c r="A232" s="8">
        <v>12648</v>
      </c>
      <c r="B232" s="10" t="s">
        <v>161</v>
      </c>
      <c r="C232" s="2">
        <v>126.41666396185445</v>
      </c>
      <c r="D232" s="2">
        <v>-27.066667236916281</v>
      </c>
    </row>
    <row r="233" spans="1:4">
      <c r="A233" s="8">
        <v>12647</v>
      </c>
      <c r="B233" s="10" t="s">
        <v>161</v>
      </c>
      <c r="C233" s="2">
        <v>126.43332604726986</v>
      </c>
      <c r="D233" s="2">
        <v>-27.23333947293402</v>
      </c>
    </row>
    <row r="234" spans="1:4">
      <c r="A234" s="8">
        <v>12636</v>
      </c>
      <c r="B234" s="10" t="s">
        <v>161</v>
      </c>
      <c r="C234" s="2">
        <v>126.44999352967021</v>
      </c>
      <c r="D234" s="2">
        <v>-26.758333987917265</v>
      </c>
    </row>
    <row r="235" spans="1:4">
      <c r="A235" s="8">
        <v>12637</v>
      </c>
      <c r="B235" s="10" t="s">
        <v>161</v>
      </c>
      <c r="C235" s="2">
        <v>126.46665954275694</v>
      </c>
      <c r="D235" s="2">
        <v>-26.666673118023041</v>
      </c>
    </row>
    <row r="236" spans="1:4">
      <c r="A236" s="8">
        <v>12634</v>
      </c>
      <c r="B236" s="10" t="s">
        <v>161</v>
      </c>
      <c r="C236" s="2">
        <v>126.48332694917048</v>
      </c>
      <c r="D236" s="2">
        <v>-27.166672639859293</v>
      </c>
    </row>
    <row r="237" spans="1:4">
      <c r="A237" s="8">
        <v>12682</v>
      </c>
      <c r="B237" s="10" t="s">
        <v>161</v>
      </c>
      <c r="C237" s="2">
        <v>126.53332732470653</v>
      </c>
      <c r="D237" s="2">
        <v>-26.600004453533963</v>
      </c>
    </row>
    <row r="238" spans="1:4">
      <c r="A238" s="8">
        <v>12630</v>
      </c>
      <c r="B238" s="10" t="s">
        <v>161</v>
      </c>
      <c r="C238" s="2">
        <v>127.39999046266061</v>
      </c>
      <c r="D238" s="2">
        <v>-25.800006733827765</v>
      </c>
    </row>
    <row r="239" spans="1:4">
      <c r="A239" s="8">
        <v>12734</v>
      </c>
      <c r="B239" s="10" t="s">
        <v>161</v>
      </c>
      <c r="C239" s="2">
        <v>127.43333074617051</v>
      </c>
      <c r="D239" s="2">
        <v>-26.183335833102536</v>
      </c>
    </row>
    <row r="240" spans="1:4">
      <c r="A240" s="1" t="str">
        <f>FossilMiddens!A52</f>
        <v>CAA04</v>
      </c>
      <c r="B240" s="1" t="s">
        <v>161</v>
      </c>
      <c r="C240" s="5">
        <f>FossilMiddens!H52</f>
        <v>127.91333333333334</v>
      </c>
      <c r="D240" s="5">
        <f>FossilMiddens!I52</f>
        <v>-26.158333333333331</v>
      </c>
    </row>
    <row r="241" spans="1:6">
      <c r="A241" s="8">
        <v>12680</v>
      </c>
      <c r="B241" s="10" t="s">
        <v>161</v>
      </c>
      <c r="C241" s="2">
        <v>128.96666111051076</v>
      </c>
      <c r="D241" s="2">
        <v>-28.750002343816011</v>
      </c>
    </row>
    <row r="242" spans="1:6">
      <c r="A242" s="8">
        <v>12602</v>
      </c>
      <c r="B242" s="10" t="s">
        <v>161</v>
      </c>
      <c r="C242" s="2">
        <v>129.18333293449439</v>
      </c>
      <c r="D242" s="2">
        <v>-28.916667066488106</v>
      </c>
    </row>
    <row r="243" spans="1:6">
      <c r="A243" s="8">
        <v>12591</v>
      </c>
      <c r="B243" s="10" t="s">
        <v>161</v>
      </c>
      <c r="C243" s="2">
        <v>129.35832633238536</v>
      </c>
      <c r="D243" s="2">
        <v>-25.916673774814594</v>
      </c>
    </row>
    <row r="244" spans="1:6">
      <c r="A244" s="8">
        <v>12605</v>
      </c>
      <c r="B244" s="10" t="s">
        <v>161</v>
      </c>
      <c r="C244" s="2">
        <v>129.99999587618385</v>
      </c>
      <c r="D244" s="2">
        <v>-31.366675679256065</v>
      </c>
    </row>
    <row r="245" spans="1:6">
      <c r="A245" s="8">
        <v>12730</v>
      </c>
      <c r="B245" s="10" t="s">
        <v>161</v>
      </c>
      <c r="C245" s="2">
        <v>130.44999821321514</v>
      </c>
      <c r="D245" s="2">
        <v>-26.450008358447572</v>
      </c>
    </row>
    <row r="246" spans="1:6">
      <c r="A246" s="8">
        <v>12606</v>
      </c>
      <c r="B246" s="10" t="s">
        <v>161</v>
      </c>
      <c r="C246" s="2">
        <v>130.7083308667593</v>
      </c>
      <c r="D246" s="2">
        <v>-31.323619340093831</v>
      </c>
    </row>
    <row r="247" spans="1:6">
      <c r="A247" s="8">
        <v>12668</v>
      </c>
      <c r="B247" s="10" t="s">
        <v>161</v>
      </c>
      <c r="C247" s="2">
        <v>130.71665976135665</v>
      </c>
      <c r="D247" s="2">
        <v>-31.322227246634359</v>
      </c>
    </row>
    <row r="248" spans="1:6">
      <c r="A248" s="8">
        <v>12669</v>
      </c>
      <c r="B248" s="10" t="s">
        <v>161</v>
      </c>
      <c r="C248" s="2">
        <v>130.74165925441031</v>
      </c>
      <c r="D248" s="2">
        <v>-31.202778636990612</v>
      </c>
    </row>
    <row r="249" spans="1:6">
      <c r="A249" s="8">
        <v>12667</v>
      </c>
      <c r="B249" s="10" t="s">
        <v>161</v>
      </c>
      <c r="C249" s="2">
        <v>130.86526907670699</v>
      </c>
      <c r="D249" s="2">
        <v>-31.366672285473722</v>
      </c>
      <c r="F249" t="s">
        <v>764</v>
      </c>
    </row>
    <row r="250" spans="1:6">
      <c r="A250" s="8">
        <v>12672</v>
      </c>
      <c r="B250" s="10" t="s">
        <v>161</v>
      </c>
      <c r="C250" s="2">
        <v>131.037496136968</v>
      </c>
      <c r="D250" s="2">
        <v>-31.248612038045145</v>
      </c>
    </row>
    <row r="251" spans="1:6">
      <c r="A251" s="8">
        <v>12670</v>
      </c>
      <c r="B251" s="10" t="s">
        <v>161</v>
      </c>
      <c r="C251" s="2">
        <v>131.04721791516886</v>
      </c>
      <c r="D251" s="2">
        <v>-31.155558249132323</v>
      </c>
    </row>
    <row r="252" spans="1:6">
      <c r="A252" s="8">
        <v>12665</v>
      </c>
      <c r="B252" s="10" t="s">
        <v>161</v>
      </c>
      <c r="C252" s="2">
        <v>131.07222127231648</v>
      </c>
      <c r="D252" s="2">
        <v>-31.294446991551716</v>
      </c>
    </row>
    <row r="253" spans="1:6">
      <c r="A253" s="8">
        <v>12666</v>
      </c>
      <c r="B253" s="10" t="s">
        <v>161</v>
      </c>
      <c r="C253" s="2">
        <v>131.38333078643194</v>
      </c>
      <c r="D253" s="2">
        <v>-31.027786226829548</v>
      </c>
    </row>
    <row r="254" spans="1:6">
      <c r="A254" s="8">
        <v>12671</v>
      </c>
      <c r="B254" s="10" t="s">
        <v>161</v>
      </c>
      <c r="C254" s="2">
        <v>131.38333305432221</v>
      </c>
      <c r="D254" s="2">
        <v>-31.033342176843497</v>
      </c>
    </row>
    <row r="255" spans="1:6">
      <c r="A255" s="1" t="str">
        <f>FossilMiddens!A18</f>
        <v>Berry (1993)</v>
      </c>
      <c r="B255" s="1" t="s">
        <v>161</v>
      </c>
      <c r="C255" s="5">
        <f>FossilMiddens!H18</f>
        <v>131.68333333333334</v>
      </c>
      <c r="D255" s="5">
        <f>FossilMiddens!I18</f>
        <v>-24.316666666666666</v>
      </c>
    </row>
    <row r="256" spans="1:6">
      <c r="A256" s="1" t="str">
        <f>FossilMiddens!A19</f>
        <v>Berry (1993)</v>
      </c>
      <c r="B256" s="1" t="s">
        <v>161</v>
      </c>
      <c r="C256" s="5">
        <f>FossilMiddens!H19</f>
        <v>131.68333333333334</v>
      </c>
      <c r="D256" s="5">
        <f>FossilMiddens!I19</f>
        <v>-24.316666666666666</v>
      </c>
    </row>
    <row r="257" spans="1:4">
      <c r="A257" s="1" t="str">
        <f>FossilMiddens!A10</f>
        <v>FinkeA22</v>
      </c>
      <c r="B257" s="1" t="s">
        <v>161</v>
      </c>
      <c r="C257" s="5">
        <f>FossilMiddens!H10</f>
        <v>132.19999999999999</v>
      </c>
      <c r="D257" s="5">
        <f>FossilMiddens!I10</f>
        <v>-24.433333333333334</v>
      </c>
    </row>
    <row r="258" spans="1:4">
      <c r="A258" s="1" t="str">
        <f>FossilMiddens!A12</f>
        <v>FinkeF4</v>
      </c>
      <c r="B258" s="1" t="s">
        <v>161</v>
      </c>
      <c r="C258" s="5">
        <f>FossilMiddens!H12</f>
        <v>132.19999999999999</v>
      </c>
      <c r="D258" s="5">
        <f>FossilMiddens!I12</f>
        <v>-24.433333333333334</v>
      </c>
    </row>
    <row r="259" spans="1:4">
      <c r="A259" s="1" t="str">
        <f>FossilMiddens!A8</f>
        <v>FinkeG15</v>
      </c>
      <c r="B259" s="1" t="s">
        <v>161</v>
      </c>
      <c r="C259" s="5">
        <f>FossilMiddens!H8</f>
        <v>132.19999999999999</v>
      </c>
      <c r="D259" s="5">
        <f>FossilMiddens!I8</f>
        <v>-24.433333333333334</v>
      </c>
    </row>
    <row r="260" spans="1:4">
      <c r="A260" s="1" t="str">
        <f>FossilMiddens!A11</f>
        <v>FinkeH19</v>
      </c>
      <c r="B260" s="1" t="s">
        <v>161</v>
      </c>
      <c r="C260" s="5">
        <f>FossilMiddens!H11</f>
        <v>132.19999999999999</v>
      </c>
      <c r="D260" s="5">
        <f>FossilMiddens!I11</f>
        <v>-24.433333333333334</v>
      </c>
    </row>
    <row r="261" spans="1:4">
      <c r="A261" s="1" t="str">
        <f>FossilMiddens!A9</f>
        <v>FinkeI16</v>
      </c>
      <c r="B261" s="1" t="s">
        <v>161</v>
      </c>
      <c r="C261" s="5">
        <f>FossilMiddens!H9</f>
        <v>132.19999999999999</v>
      </c>
      <c r="D261" s="5">
        <f>FossilMiddens!I9</f>
        <v>-24.433333333333334</v>
      </c>
    </row>
    <row r="262" spans="1:4">
      <c r="A262" s="1">
        <v>12600</v>
      </c>
      <c r="B262" s="1" t="s">
        <v>161</v>
      </c>
      <c r="C262" s="5">
        <v>132.43332799999999</v>
      </c>
      <c r="D262" s="5">
        <v>-27.033334</v>
      </c>
    </row>
    <row r="263" spans="1:4">
      <c r="A263" s="1" t="str">
        <f>FossilMiddens!A14</f>
        <v xml:space="preserve">Nelson et al (1990) , </v>
      </c>
      <c r="B263" s="1" t="s">
        <v>161</v>
      </c>
      <c r="C263" s="5">
        <f>FossilMiddens!H14</f>
        <v>133</v>
      </c>
      <c r="D263" s="5">
        <f>FossilMiddens!I14</f>
        <v>-24</v>
      </c>
    </row>
    <row r="264" spans="1:4">
      <c r="A264" s="1" t="str">
        <f>FossilMiddens!A15</f>
        <v xml:space="preserve">Nelson et al (1990) , </v>
      </c>
      <c r="B264" s="1" t="s">
        <v>161</v>
      </c>
      <c r="C264" s="5">
        <f>FossilMiddens!H15</f>
        <v>133</v>
      </c>
      <c r="D264" s="5">
        <f>FossilMiddens!I15</f>
        <v>-24</v>
      </c>
    </row>
    <row r="265" spans="1:4">
      <c r="A265" s="1">
        <v>12570</v>
      </c>
      <c r="B265" s="1" t="s">
        <v>161</v>
      </c>
      <c r="C265" s="5">
        <v>133.249999</v>
      </c>
      <c r="D265" s="5">
        <v>-26.583338999999999</v>
      </c>
    </row>
    <row r="266" spans="1:4">
      <c r="A266" s="1">
        <v>12617</v>
      </c>
      <c r="B266" s="1" t="s">
        <v>161</v>
      </c>
      <c r="C266" s="5">
        <v>133.26666499999999</v>
      </c>
      <c r="D266" s="5">
        <v>-26.566672000000001</v>
      </c>
    </row>
    <row r="267" spans="1:4">
      <c r="A267" s="1">
        <v>12616</v>
      </c>
      <c r="B267" s="1" t="s">
        <v>161</v>
      </c>
      <c r="C267" s="5">
        <v>133.44999899999999</v>
      </c>
      <c r="D267" s="5">
        <v>-26.983335</v>
      </c>
    </row>
    <row r="268" spans="1:4">
      <c r="A268" s="1" t="str">
        <f>FossilMiddens!A53</f>
        <v>GRD12</v>
      </c>
      <c r="B268" s="1" t="s">
        <v>161</v>
      </c>
      <c r="C268" s="5">
        <f>FossilMiddens!H53</f>
        <v>133.4986111111111</v>
      </c>
      <c r="D268" s="5">
        <f>FossilMiddens!I53</f>
        <v>-26.953055555555554</v>
      </c>
    </row>
    <row r="269" spans="1:4">
      <c r="A269" s="1">
        <v>12618</v>
      </c>
      <c r="B269" s="1" t="s">
        <v>161</v>
      </c>
      <c r="C269" s="5">
        <v>133.508332</v>
      </c>
      <c r="D269" s="5">
        <v>-26.950005999999998</v>
      </c>
    </row>
    <row r="270" spans="1:4">
      <c r="A270" s="1">
        <v>12620</v>
      </c>
      <c r="B270" s="1" t="s">
        <v>161</v>
      </c>
      <c r="C270" s="5">
        <v>133.74999099999999</v>
      </c>
      <c r="D270" s="5">
        <v>-26.950008</v>
      </c>
    </row>
    <row r="271" spans="1:4">
      <c r="A271" s="1">
        <v>12619</v>
      </c>
      <c r="B271" s="1" t="s">
        <v>161</v>
      </c>
      <c r="C271" s="5">
        <v>133.774991</v>
      </c>
      <c r="D271" s="5">
        <v>-26.041671999999998</v>
      </c>
    </row>
    <row r="272" spans="1:4">
      <c r="A272" s="1">
        <v>12588</v>
      </c>
      <c r="B272" s="1" t="s">
        <v>161</v>
      </c>
      <c r="C272" s="5">
        <v>133.89999800000001</v>
      </c>
      <c r="D272" s="5">
        <v>-25.800008999999999</v>
      </c>
    </row>
    <row r="273" spans="1:5">
      <c r="A273" s="1">
        <v>12638</v>
      </c>
      <c r="B273" s="1" t="s">
        <v>161</v>
      </c>
      <c r="C273" s="5">
        <v>133.89999800000001</v>
      </c>
      <c r="D273" s="5">
        <v>-25.891670999999999</v>
      </c>
    </row>
    <row r="274" spans="1:5">
      <c r="A274" s="1">
        <v>12639</v>
      </c>
      <c r="B274" s="1" t="s">
        <v>161</v>
      </c>
      <c r="C274" s="5">
        <v>133.94999200000001</v>
      </c>
      <c r="D274" s="5">
        <v>-25.883337000000001</v>
      </c>
    </row>
    <row r="275" spans="1:5">
      <c r="A275" s="1">
        <v>12640</v>
      </c>
      <c r="B275" s="1" t="s">
        <v>161</v>
      </c>
      <c r="C275" s="5">
        <v>134.07499300000001</v>
      </c>
      <c r="D275" s="5">
        <v>-25.958335999999999</v>
      </c>
    </row>
    <row r="276" spans="1:5">
      <c r="A276" s="1">
        <v>12697</v>
      </c>
      <c r="B276" s="1" t="s">
        <v>161</v>
      </c>
      <c r="C276" s="5">
        <v>134.083327</v>
      </c>
      <c r="D276" s="5">
        <v>-28.166668999999999</v>
      </c>
    </row>
    <row r="277" spans="1:5">
      <c r="A277" s="1">
        <v>12610</v>
      </c>
      <c r="B277" s="1" t="s">
        <v>161</v>
      </c>
      <c r="C277" s="5">
        <v>134.166662</v>
      </c>
      <c r="D277" s="5">
        <v>-27.966674999999999</v>
      </c>
      <c r="E277" t="s">
        <v>776</v>
      </c>
    </row>
    <row r="278" spans="1:5">
      <c r="A278" s="1">
        <v>12609</v>
      </c>
      <c r="B278" s="1" t="s">
        <v>161</v>
      </c>
      <c r="C278" s="5">
        <v>134.18332599999999</v>
      </c>
      <c r="D278" s="5">
        <v>-27.966674999999999</v>
      </c>
    </row>
    <row r="279" spans="1:5">
      <c r="A279" s="1" t="str">
        <f>FossilMiddens!A26</f>
        <v>USA127</v>
      </c>
      <c r="B279" s="1" t="s">
        <v>161</v>
      </c>
      <c r="C279" s="5">
        <f>FossilMiddens!H26</f>
        <v>134.19833333333332</v>
      </c>
      <c r="D279" s="5">
        <f>FossilMiddens!I26</f>
        <v>-25.83</v>
      </c>
    </row>
    <row r="280" spans="1:5">
      <c r="A280" s="1" t="str">
        <f>FossilMiddens!A27</f>
        <v>USA131</v>
      </c>
      <c r="B280" s="1" t="s">
        <v>161</v>
      </c>
      <c r="C280" s="5">
        <f>FossilMiddens!H27</f>
        <v>134.19833333333332</v>
      </c>
      <c r="D280" s="5">
        <f>FossilMiddens!I27</f>
        <v>-25.83</v>
      </c>
    </row>
    <row r="281" spans="1:5">
      <c r="A281" s="1" t="str">
        <f>FossilMiddens!A28</f>
        <v>USA16</v>
      </c>
      <c r="B281" s="1" t="s">
        <v>161</v>
      </c>
      <c r="C281" s="5">
        <f>FossilMiddens!H28</f>
        <v>134.19833333333332</v>
      </c>
      <c r="D281" s="5">
        <f>FossilMiddens!I28</f>
        <v>-25.83</v>
      </c>
    </row>
    <row r="282" spans="1:5">
      <c r="A282" s="1" t="str">
        <f>FossilMiddens!A29</f>
        <v>USA22</v>
      </c>
      <c r="B282" s="1" t="s">
        <v>161</v>
      </c>
      <c r="C282" s="5">
        <f>FossilMiddens!H29</f>
        <v>134.19833333333332</v>
      </c>
      <c r="D282" s="5">
        <f>FossilMiddens!I29</f>
        <v>-25.83</v>
      </c>
    </row>
    <row r="283" spans="1:5">
      <c r="A283" s="1" t="str">
        <f>FossilMiddens!A30</f>
        <v>USB10</v>
      </c>
      <c r="B283" s="1" t="s">
        <v>161</v>
      </c>
      <c r="C283" s="5">
        <f>FossilMiddens!H30</f>
        <v>134.19833333333332</v>
      </c>
      <c r="D283" s="5">
        <f>FossilMiddens!I30</f>
        <v>-25.83</v>
      </c>
    </row>
    <row r="284" spans="1:5">
      <c r="A284" s="1" t="str">
        <f>FossilMiddens!A31</f>
        <v>USB10</v>
      </c>
      <c r="B284" s="1" t="s">
        <v>161</v>
      </c>
      <c r="C284" s="5">
        <f>FossilMiddens!H31</f>
        <v>134.19833333333332</v>
      </c>
      <c r="D284" s="5">
        <f>FossilMiddens!I31</f>
        <v>-25.83</v>
      </c>
    </row>
    <row r="285" spans="1:5">
      <c r="A285" s="1" t="str">
        <f>FossilMiddens!A32</f>
        <v>USB11</v>
      </c>
      <c r="B285" s="1" t="s">
        <v>161</v>
      </c>
      <c r="C285" s="5">
        <f>FossilMiddens!H32</f>
        <v>134.19833333333332</v>
      </c>
      <c r="D285" s="5">
        <f>FossilMiddens!I32</f>
        <v>-25.83</v>
      </c>
    </row>
    <row r="286" spans="1:5">
      <c r="A286" s="1" t="str">
        <f>FossilMiddens!A33</f>
        <v>USB13</v>
      </c>
      <c r="B286" s="1" t="s">
        <v>161</v>
      </c>
      <c r="C286" s="5">
        <f>FossilMiddens!H33</f>
        <v>134.19833333333332</v>
      </c>
      <c r="D286" s="5">
        <f>FossilMiddens!I33</f>
        <v>-25.83</v>
      </c>
    </row>
    <row r="287" spans="1:5">
      <c r="A287" s="1" t="str">
        <f>FossilMiddens!A34</f>
        <v>USC191</v>
      </c>
      <c r="B287" s="1" t="s">
        <v>161</v>
      </c>
      <c r="C287" s="5">
        <f>FossilMiddens!H34</f>
        <v>134.19833333333332</v>
      </c>
      <c r="D287" s="5">
        <f>FossilMiddens!I34</f>
        <v>-25.83</v>
      </c>
    </row>
    <row r="288" spans="1:5">
      <c r="A288" s="1" t="str">
        <f>FossilMiddens!A35</f>
        <v>USC31</v>
      </c>
      <c r="B288" s="1" t="s">
        <v>161</v>
      </c>
      <c r="C288" s="5">
        <f>FossilMiddens!H35</f>
        <v>134.19833333333332</v>
      </c>
      <c r="D288" s="5">
        <f>FossilMiddens!I35</f>
        <v>-25.83</v>
      </c>
    </row>
    <row r="289" spans="1:4">
      <c r="A289" s="1" t="str">
        <f>FossilMiddens!A36</f>
        <v>USC39</v>
      </c>
      <c r="B289" s="1" t="s">
        <v>161</v>
      </c>
      <c r="C289" s="5">
        <f>FossilMiddens!H36</f>
        <v>134.19833333333332</v>
      </c>
      <c r="D289" s="5">
        <f>FossilMiddens!I36</f>
        <v>-25.83</v>
      </c>
    </row>
    <row r="290" spans="1:4">
      <c r="A290" s="1" t="str">
        <f>FossilMiddens!A37</f>
        <v>USC89</v>
      </c>
      <c r="B290" s="1" t="s">
        <v>161</v>
      </c>
      <c r="C290" s="5">
        <f>FossilMiddens!H37</f>
        <v>134.19833333333332</v>
      </c>
      <c r="D290" s="5">
        <f>FossilMiddens!I37</f>
        <v>-25.83</v>
      </c>
    </row>
    <row r="291" spans="1:4">
      <c r="A291" s="1" t="str">
        <f>FossilMiddens!A38</f>
        <v>USC99</v>
      </c>
      <c r="B291" s="1" t="s">
        <v>161</v>
      </c>
      <c r="C291" s="5">
        <f>FossilMiddens!H38</f>
        <v>134.19833333333332</v>
      </c>
      <c r="D291" s="5">
        <f>FossilMiddens!I38</f>
        <v>-25.83</v>
      </c>
    </row>
    <row r="292" spans="1:4">
      <c r="A292" s="1" t="str">
        <f>FossilMiddens!A39</f>
        <v>USE72</v>
      </c>
      <c r="B292" s="1" t="s">
        <v>161</v>
      </c>
      <c r="C292" s="5">
        <f>FossilMiddens!H39</f>
        <v>134.19833333333332</v>
      </c>
      <c r="D292" s="5">
        <f>FossilMiddens!I39</f>
        <v>-25.83</v>
      </c>
    </row>
    <row r="293" spans="1:4">
      <c r="A293" s="1" t="str">
        <f>FossilMiddens!A40</f>
        <v>USF06</v>
      </c>
      <c r="B293" s="1" t="s">
        <v>161</v>
      </c>
      <c r="C293" s="5">
        <f>FossilMiddens!H40</f>
        <v>134.19833333333332</v>
      </c>
      <c r="D293" s="5">
        <f>FossilMiddens!I40</f>
        <v>-25.83</v>
      </c>
    </row>
    <row r="294" spans="1:4">
      <c r="A294" s="1" t="str">
        <f>FossilMiddens!A41</f>
        <v>USG22</v>
      </c>
      <c r="B294" s="1" t="s">
        <v>161</v>
      </c>
      <c r="C294" s="5">
        <f>FossilMiddens!H41</f>
        <v>134.19833333333332</v>
      </c>
      <c r="D294" s="5">
        <f>FossilMiddens!I41</f>
        <v>-25.83</v>
      </c>
    </row>
    <row r="295" spans="1:4">
      <c r="A295" s="1" t="str">
        <f>FossilMiddens!A42</f>
        <v>USI76</v>
      </c>
      <c r="B295" s="1" t="s">
        <v>161</v>
      </c>
      <c r="C295" s="5">
        <f>FossilMiddens!H42</f>
        <v>134.19833333333332</v>
      </c>
      <c r="D295" s="5">
        <f>FossilMiddens!I42</f>
        <v>-25.83</v>
      </c>
    </row>
    <row r="296" spans="1:4">
      <c r="A296" s="1" t="str">
        <f>FossilMiddens!A43</f>
        <v>USJ7</v>
      </c>
      <c r="B296" s="1" t="s">
        <v>161</v>
      </c>
      <c r="C296" s="5">
        <f>FossilMiddens!H43</f>
        <v>134.19833333333332</v>
      </c>
      <c r="D296" s="5">
        <f>FossilMiddens!I43</f>
        <v>-25.83</v>
      </c>
    </row>
    <row r="297" spans="1:4">
      <c r="A297" s="1" t="str">
        <f>FossilMiddens!A44</f>
        <v>USK14</v>
      </c>
      <c r="B297" s="1" t="s">
        <v>161</v>
      </c>
      <c r="C297" s="5">
        <f>FossilMiddens!H44</f>
        <v>134.19833333333332</v>
      </c>
      <c r="D297" s="5">
        <f>FossilMiddens!I44</f>
        <v>-25.83</v>
      </c>
    </row>
    <row r="298" spans="1:4">
      <c r="A298" s="1" t="str">
        <f>FossilMiddens!A45</f>
        <v>USL7</v>
      </c>
      <c r="B298" s="1" t="s">
        <v>161</v>
      </c>
      <c r="C298" s="5">
        <f>FossilMiddens!H45</f>
        <v>134.19833333333332</v>
      </c>
      <c r="D298" s="5">
        <f>FossilMiddens!I45</f>
        <v>-25.83</v>
      </c>
    </row>
    <row r="299" spans="1:4">
      <c r="A299" s="1" t="str">
        <f>FossilMiddens!A46</f>
        <v>USM40</v>
      </c>
      <c r="B299" s="1" t="s">
        <v>161</v>
      </c>
      <c r="C299" s="5">
        <f>FossilMiddens!H46</f>
        <v>134.19833333333332</v>
      </c>
      <c r="D299" s="5">
        <f>FossilMiddens!I46</f>
        <v>-25.83</v>
      </c>
    </row>
    <row r="300" spans="1:4">
      <c r="A300" s="1" t="str">
        <f>FossilMiddens!A47</f>
        <v>USN104</v>
      </c>
      <c r="B300" s="1" t="s">
        <v>161</v>
      </c>
      <c r="C300" s="5">
        <f>FossilMiddens!H47</f>
        <v>134.19833333333332</v>
      </c>
      <c r="D300" s="5">
        <f>FossilMiddens!I47</f>
        <v>-25.83</v>
      </c>
    </row>
    <row r="301" spans="1:4">
      <c r="A301" s="1" t="str">
        <f>FossilMiddens!A48</f>
        <v>USN138</v>
      </c>
      <c r="B301" s="1" t="s">
        <v>161</v>
      </c>
      <c r="C301" s="5">
        <f>FossilMiddens!H48</f>
        <v>134.19833333333332</v>
      </c>
      <c r="D301" s="5">
        <f>FossilMiddens!I48</f>
        <v>-25.83</v>
      </c>
    </row>
    <row r="302" spans="1:4">
      <c r="A302" s="1" t="str">
        <f>FossilMiddens!A49</f>
        <v>USN160</v>
      </c>
      <c r="B302" s="1" t="s">
        <v>161</v>
      </c>
      <c r="C302" s="5">
        <f>FossilMiddens!H49</f>
        <v>134.19833333333332</v>
      </c>
      <c r="D302" s="5">
        <f>FossilMiddens!I49</f>
        <v>-25.83</v>
      </c>
    </row>
    <row r="303" spans="1:4">
      <c r="A303" s="1" t="str">
        <f>FossilMiddens!A50</f>
        <v>USN279</v>
      </c>
      <c r="B303" s="1" t="s">
        <v>161</v>
      </c>
      <c r="C303" s="5">
        <f>FossilMiddens!H50</f>
        <v>134.19833333333332</v>
      </c>
      <c r="D303" s="5">
        <f>FossilMiddens!I50</f>
        <v>-25.83</v>
      </c>
    </row>
    <row r="304" spans="1:4">
      <c r="A304" s="1" t="str">
        <f>FossilMiddens!A51</f>
        <v>USN363</v>
      </c>
      <c r="B304" s="1" t="s">
        <v>161</v>
      </c>
      <c r="C304" s="5">
        <f>FossilMiddens!H51</f>
        <v>134.19833333333332</v>
      </c>
      <c r="D304" s="5">
        <f>FossilMiddens!I51</f>
        <v>-25.83</v>
      </c>
    </row>
    <row r="305" spans="1:4">
      <c r="A305" s="1">
        <v>12599</v>
      </c>
      <c r="B305" s="1" t="s">
        <v>161</v>
      </c>
      <c r="C305" s="5">
        <v>134.208324</v>
      </c>
      <c r="D305" s="5">
        <v>-28.225002</v>
      </c>
    </row>
    <row r="306" spans="1:4">
      <c r="A306" s="1">
        <v>12603</v>
      </c>
      <c r="B306" s="1" t="s">
        <v>161</v>
      </c>
      <c r="C306" s="5">
        <v>134.24999099999999</v>
      </c>
      <c r="D306" s="5">
        <v>-28.183335</v>
      </c>
    </row>
    <row r="307" spans="1:4">
      <c r="A307" s="1">
        <v>12732</v>
      </c>
      <c r="B307" s="1" t="s">
        <v>161</v>
      </c>
      <c r="C307" s="5">
        <v>134.24999299999999</v>
      </c>
      <c r="D307" s="5">
        <v>-26.200005000000001</v>
      </c>
    </row>
    <row r="308" spans="1:4">
      <c r="A308" s="1">
        <v>12613</v>
      </c>
      <c r="B308" s="1" t="s">
        <v>161</v>
      </c>
      <c r="C308" s="5">
        <v>134.25832700000001</v>
      </c>
      <c r="D308" s="5">
        <v>-27.883338999999999</v>
      </c>
    </row>
    <row r="309" spans="1:4">
      <c r="A309" s="1">
        <v>12612</v>
      </c>
      <c r="B309" s="1" t="s">
        <v>161</v>
      </c>
      <c r="C309" s="5">
        <v>134.26665700000001</v>
      </c>
      <c r="D309" s="5">
        <v>-27.900002000000001</v>
      </c>
    </row>
    <row r="310" spans="1:4">
      <c r="A310" s="1">
        <v>12698</v>
      </c>
      <c r="B310" s="1" t="s">
        <v>161</v>
      </c>
      <c r="C310" s="5">
        <v>134.26666599999999</v>
      </c>
      <c r="D310" s="5">
        <v>-28.200006999999999</v>
      </c>
    </row>
    <row r="311" spans="1:4">
      <c r="A311" s="1">
        <v>12701</v>
      </c>
      <c r="B311" s="1" t="s">
        <v>161</v>
      </c>
      <c r="C311" s="5">
        <v>134.26666599999999</v>
      </c>
      <c r="D311" s="5">
        <v>-28.200006999999999</v>
      </c>
    </row>
    <row r="312" spans="1:4">
      <c r="A312" s="1">
        <v>12611</v>
      </c>
      <c r="B312" s="1" t="s">
        <v>161</v>
      </c>
      <c r="C312" s="5">
        <v>134.28332399999999</v>
      </c>
      <c r="D312" s="5">
        <v>-27.933336000000001</v>
      </c>
    </row>
    <row r="313" spans="1:4">
      <c r="A313" s="1" t="str">
        <f>FossilMiddens!A54</f>
        <v>CHA14</v>
      </c>
      <c r="B313" s="1" t="s">
        <v>161</v>
      </c>
      <c r="C313" s="5">
        <f>FossilMiddens!H54</f>
        <v>134.31722222222223</v>
      </c>
      <c r="D313" s="5">
        <f>FossilMiddens!I54</f>
        <v>-27.885555555555555</v>
      </c>
    </row>
    <row r="314" spans="1:4">
      <c r="A314" s="1" t="str">
        <f>FossilMiddens!A55</f>
        <v>CHA42</v>
      </c>
      <c r="B314" s="1" t="s">
        <v>161</v>
      </c>
      <c r="C314" s="5">
        <f>FossilMiddens!H55</f>
        <v>134.31722222222223</v>
      </c>
      <c r="D314" s="5">
        <f>FossilMiddens!I55</f>
        <v>-27.885555555555555</v>
      </c>
    </row>
    <row r="315" spans="1:4">
      <c r="A315" s="1" t="str">
        <f>FossilMiddens!A56</f>
        <v>CHB15</v>
      </c>
      <c r="B315" s="1" t="s">
        <v>161</v>
      </c>
      <c r="C315" s="5">
        <f>FossilMiddens!H56</f>
        <v>134.31722222222223</v>
      </c>
      <c r="D315" s="5">
        <f>FossilMiddens!I56</f>
        <v>-27.885555555555555</v>
      </c>
    </row>
    <row r="316" spans="1:4">
      <c r="A316" s="1" t="str">
        <f>FossilMiddens!A57</f>
        <v>CHB41</v>
      </c>
      <c r="B316" s="1" t="s">
        <v>161</v>
      </c>
      <c r="C316" s="5">
        <f>FossilMiddens!H57</f>
        <v>134.31722222222223</v>
      </c>
      <c r="D316" s="5">
        <f>FossilMiddens!I57</f>
        <v>-27.885555555555555</v>
      </c>
    </row>
    <row r="317" spans="1:4">
      <c r="A317" s="1" t="str">
        <f>FossilMiddens!A58</f>
        <v>CHC119</v>
      </c>
      <c r="B317" s="1" t="s">
        <v>161</v>
      </c>
      <c r="C317" s="5">
        <f>FossilMiddens!H58</f>
        <v>134.31722222222223</v>
      </c>
      <c r="D317" s="5">
        <f>FossilMiddens!I58</f>
        <v>-27.885555555555555</v>
      </c>
    </row>
    <row r="318" spans="1:4">
      <c r="A318" s="1" t="str">
        <f>FossilMiddens!A59</f>
        <v>CHC22</v>
      </c>
      <c r="B318" s="1" t="s">
        <v>161</v>
      </c>
      <c r="C318" s="5">
        <f>FossilMiddens!H59</f>
        <v>134.31722222222223</v>
      </c>
      <c r="D318" s="5">
        <f>FossilMiddens!I59</f>
        <v>-27.885555555555555</v>
      </c>
    </row>
    <row r="319" spans="1:4">
      <c r="A319" s="1" t="str">
        <f>FossilMiddens!A60</f>
        <v>CHC24</v>
      </c>
      <c r="B319" s="1" t="s">
        <v>161</v>
      </c>
      <c r="C319" s="5">
        <f>FossilMiddens!H60</f>
        <v>134.31722222222223</v>
      </c>
      <c r="D319" s="5">
        <f>FossilMiddens!I60</f>
        <v>-27.885555555555555</v>
      </c>
    </row>
    <row r="320" spans="1:4">
      <c r="A320" s="1" t="str">
        <f>FossilMiddens!A61</f>
        <v>CHC42</v>
      </c>
      <c r="B320" s="1" t="s">
        <v>161</v>
      </c>
      <c r="C320" s="5">
        <f>FossilMiddens!H61</f>
        <v>134.31722222222223</v>
      </c>
      <c r="D320" s="5">
        <f>FossilMiddens!I61</f>
        <v>-27.885555555555555</v>
      </c>
    </row>
    <row r="321" spans="1:4">
      <c r="A321" s="1" t="str">
        <f>FossilMiddens!A62</f>
        <v>CHD17</v>
      </c>
      <c r="B321" s="1" t="s">
        <v>161</v>
      </c>
      <c r="C321" s="5">
        <f>FossilMiddens!H62</f>
        <v>134.31722222222223</v>
      </c>
      <c r="D321" s="5">
        <f>FossilMiddens!I62</f>
        <v>-27.885555555555555</v>
      </c>
    </row>
    <row r="322" spans="1:4">
      <c r="A322" s="1" t="str">
        <f>FossilMiddens!A63</f>
        <v>CHD18</v>
      </c>
      <c r="B322" s="1" t="s">
        <v>161</v>
      </c>
      <c r="C322" s="5">
        <f>FossilMiddens!H63</f>
        <v>134.31722222222223</v>
      </c>
      <c r="D322" s="5">
        <f>FossilMiddens!I63</f>
        <v>-27.885555555555555</v>
      </c>
    </row>
    <row r="323" spans="1:4">
      <c r="A323" s="1">
        <v>12608</v>
      </c>
      <c r="B323" s="1" t="s">
        <v>161</v>
      </c>
      <c r="C323" s="5">
        <v>134.333326</v>
      </c>
      <c r="D323" s="5">
        <v>-28.025003000000002</v>
      </c>
    </row>
    <row r="324" spans="1:4">
      <c r="A324" s="1">
        <v>12707</v>
      </c>
      <c r="B324" s="1" t="s">
        <v>161</v>
      </c>
      <c r="C324" s="5">
        <v>134.33333200000001</v>
      </c>
      <c r="D324" s="5">
        <v>-28.533334</v>
      </c>
    </row>
    <row r="325" spans="1:4">
      <c r="A325" s="1" t="str">
        <f>FossilMiddens!A17</f>
        <v>CRA9</v>
      </c>
      <c r="B325" s="1" t="s">
        <v>161</v>
      </c>
      <c r="C325" s="5">
        <f>FossilMiddens!H17</f>
        <v>134.5</v>
      </c>
      <c r="D325" s="5">
        <f>FossilMiddens!I17</f>
        <v>-23.5</v>
      </c>
    </row>
    <row r="326" spans="1:4">
      <c r="A326" s="1">
        <v>107232</v>
      </c>
      <c r="B326" s="1" t="s">
        <v>161</v>
      </c>
      <c r="C326" s="5">
        <v>134.51948999999999</v>
      </c>
      <c r="D326" s="5">
        <v>-27.387250000000002</v>
      </c>
    </row>
    <row r="327" spans="1:4">
      <c r="A327" s="1">
        <v>12601</v>
      </c>
      <c r="B327" s="1" t="s">
        <v>161</v>
      </c>
      <c r="C327" s="5">
        <v>134.58332799999999</v>
      </c>
      <c r="D327" s="5">
        <v>-28.800001000000002</v>
      </c>
    </row>
    <row r="328" spans="1:4">
      <c r="A328" s="1">
        <v>12615</v>
      </c>
      <c r="B328" s="1" t="s">
        <v>161</v>
      </c>
      <c r="C328" s="5">
        <v>134.599997</v>
      </c>
      <c r="D328" s="5">
        <v>-27.700008</v>
      </c>
    </row>
    <row r="329" spans="1:4">
      <c r="A329" s="1">
        <v>12614</v>
      </c>
      <c r="B329" s="1" t="s">
        <v>161</v>
      </c>
      <c r="C329" s="5">
        <v>134.608328</v>
      </c>
      <c r="D329" s="5">
        <v>-27.900006999999999</v>
      </c>
    </row>
    <row r="330" spans="1:4">
      <c r="A330" s="1" t="str">
        <f>FossilMiddens!A3</f>
        <v>ARLT01</v>
      </c>
      <c r="B330" s="1" t="s">
        <v>161</v>
      </c>
      <c r="C330" s="5">
        <f>FossilMiddens!H3</f>
        <v>134.69999999999999</v>
      </c>
      <c r="D330" s="5">
        <f>FossilMiddens!I3</f>
        <v>-23.45</v>
      </c>
    </row>
    <row r="331" spans="1:4">
      <c r="A331" s="1" t="str">
        <f>FossilMiddens!A7</f>
        <v>ARLTG8</v>
      </c>
      <c r="B331" s="1" t="s">
        <v>161</v>
      </c>
      <c r="C331" s="5">
        <f>FossilMiddens!H7</f>
        <v>134.69999999999999</v>
      </c>
      <c r="D331" s="5">
        <f>FossilMiddens!I7</f>
        <v>-23.45</v>
      </c>
    </row>
    <row r="332" spans="1:4">
      <c r="A332" s="1" t="str">
        <f>FossilMiddens!A5</f>
        <v>ARLTH10</v>
      </c>
      <c r="B332" s="1" t="s">
        <v>161</v>
      </c>
      <c r="C332" s="5">
        <f>FossilMiddens!H5</f>
        <v>134.69999999999999</v>
      </c>
      <c r="D332" s="5">
        <f>FossilMiddens!I5</f>
        <v>-23.45</v>
      </c>
    </row>
    <row r="333" spans="1:4">
      <c r="A333" s="1" t="str">
        <f>FossilMiddens!A6</f>
        <v>ARLTK2</v>
      </c>
      <c r="B333" s="1" t="s">
        <v>161</v>
      </c>
      <c r="C333" s="5">
        <f>FossilMiddens!H6</f>
        <v>134.69999999999999</v>
      </c>
      <c r="D333" s="5">
        <f>FossilMiddens!I6</f>
        <v>-23.45</v>
      </c>
    </row>
    <row r="334" spans="1:4">
      <c r="A334" s="1" t="str">
        <f>FossilMiddens!A4</f>
        <v>ARLTN15</v>
      </c>
      <c r="B334" s="1" t="s">
        <v>161</v>
      </c>
      <c r="C334" s="5">
        <f>FossilMiddens!H4</f>
        <v>134.69999999999999</v>
      </c>
      <c r="D334" s="5">
        <f>FossilMiddens!I4</f>
        <v>-23.45</v>
      </c>
    </row>
    <row r="335" spans="1:4">
      <c r="A335" s="1" t="str">
        <f>FossilMiddens!A2</f>
        <v>ARLTP5</v>
      </c>
      <c r="B335" s="1" t="s">
        <v>161</v>
      </c>
      <c r="C335" s="5">
        <f>FossilMiddens!H2</f>
        <v>134.69999999999999</v>
      </c>
      <c r="D335" s="5">
        <f>FossilMiddens!I2</f>
        <v>-23.45</v>
      </c>
    </row>
    <row r="336" spans="1:4">
      <c r="A336" s="1">
        <v>12702</v>
      </c>
      <c r="B336" s="1" t="s">
        <v>161</v>
      </c>
      <c r="C336" s="5">
        <v>134.749999</v>
      </c>
      <c r="D336" s="5">
        <v>-29.433342</v>
      </c>
    </row>
    <row r="337" spans="1:6">
      <c r="A337" s="1">
        <v>12586</v>
      </c>
      <c r="B337" s="1" t="s">
        <v>161</v>
      </c>
      <c r="C337" s="5">
        <v>135.199996</v>
      </c>
      <c r="D337" s="5">
        <v>-25.883341999999999</v>
      </c>
    </row>
    <row r="338" spans="1:6">
      <c r="A338" s="1">
        <v>12587</v>
      </c>
      <c r="B338" s="1" t="s">
        <v>161</v>
      </c>
      <c r="C338" s="5">
        <v>135.199996</v>
      </c>
      <c r="D338" s="5">
        <v>-25.883341999999999</v>
      </c>
    </row>
    <row r="339" spans="1:6">
      <c r="A339" s="1">
        <v>12664</v>
      </c>
      <c r="B339" s="1" t="s">
        <v>161</v>
      </c>
      <c r="C339" s="5">
        <v>135.43332799999999</v>
      </c>
      <c r="D339" s="5">
        <v>-26.216676</v>
      </c>
    </row>
    <row r="340" spans="1:6">
      <c r="A340" s="1">
        <v>378</v>
      </c>
      <c r="B340" s="1" t="s">
        <v>161</v>
      </c>
      <c r="C340" s="5">
        <v>135.694243</v>
      </c>
      <c r="D340" s="5">
        <v>-32.385579999999997</v>
      </c>
    </row>
    <row r="341" spans="1:6">
      <c r="A341" s="1">
        <v>12709</v>
      </c>
      <c r="B341" s="1" t="s">
        <v>161</v>
      </c>
      <c r="C341" s="5">
        <v>135.833325</v>
      </c>
      <c r="D341" s="5">
        <v>-34.583336000000003</v>
      </c>
    </row>
    <row r="342" spans="1:6">
      <c r="A342" s="1">
        <v>12706</v>
      </c>
      <c r="B342" s="1" t="s">
        <v>161</v>
      </c>
      <c r="C342" s="5">
        <v>135.99999399999999</v>
      </c>
      <c r="D342" s="5">
        <v>-27.666671000000001</v>
      </c>
    </row>
    <row r="343" spans="1:6">
      <c r="A343" s="1">
        <v>12607</v>
      </c>
      <c r="B343" s="1" t="s">
        <v>161</v>
      </c>
      <c r="C343" s="5">
        <v>136.333326</v>
      </c>
      <c r="D343" s="5">
        <v>-31.183337000000002</v>
      </c>
    </row>
    <row r="344" spans="1:6">
      <c r="A344" s="1">
        <v>12872</v>
      </c>
      <c r="B344" s="1" t="s">
        <v>161</v>
      </c>
      <c r="C344" s="5">
        <v>137.09999099999999</v>
      </c>
      <c r="D344" s="5">
        <v>-33.200001999999998</v>
      </c>
      <c r="F344" t="s">
        <v>777</v>
      </c>
    </row>
    <row r="345" spans="1:6">
      <c r="A345" s="1">
        <v>12686</v>
      </c>
      <c r="B345" s="1" t="s">
        <v>161</v>
      </c>
      <c r="C345" s="5">
        <v>137.166662</v>
      </c>
      <c r="D345" s="5">
        <v>-33.016666999999998</v>
      </c>
      <c r="F345" t="s">
        <v>782</v>
      </c>
    </row>
    <row r="346" spans="1:6">
      <c r="A346" s="1">
        <v>12685</v>
      </c>
      <c r="B346" s="1" t="s">
        <v>161</v>
      </c>
      <c r="C346" s="5">
        <v>137.166664</v>
      </c>
      <c r="D346" s="5">
        <v>-33.033341</v>
      </c>
    </row>
    <row r="347" spans="1:6">
      <c r="A347" s="1">
        <v>12687</v>
      </c>
      <c r="B347" s="1" t="s">
        <v>161</v>
      </c>
      <c r="C347" s="5">
        <v>137.16666499999999</v>
      </c>
      <c r="D347" s="5">
        <v>-33.050006000000003</v>
      </c>
    </row>
    <row r="348" spans="1:6">
      <c r="A348" s="1">
        <v>12705</v>
      </c>
      <c r="B348" s="1" t="s">
        <v>161</v>
      </c>
      <c r="C348" s="5">
        <v>137.43333100000001</v>
      </c>
      <c r="D348" s="5">
        <v>-32.750000999999997</v>
      </c>
    </row>
    <row r="349" spans="1:6">
      <c r="A349" s="1">
        <v>12653</v>
      </c>
      <c r="B349" s="1" t="s">
        <v>161</v>
      </c>
      <c r="C349" s="5">
        <v>137.49999500000001</v>
      </c>
      <c r="D349" s="5">
        <v>-29.500005000000002</v>
      </c>
    </row>
    <row r="350" spans="1:6">
      <c r="A350" s="1">
        <v>12675</v>
      </c>
      <c r="B350" s="1" t="s">
        <v>161</v>
      </c>
      <c r="C350" s="5">
        <v>138.06665799999999</v>
      </c>
      <c r="D350" s="5">
        <v>-32.083337999999998</v>
      </c>
    </row>
    <row r="351" spans="1:6">
      <c r="A351" s="1">
        <v>12652</v>
      </c>
      <c r="B351" s="1" t="s">
        <v>161</v>
      </c>
      <c r="C351" s="5">
        <v>138.41666599999999</v>
      </c>
      <c r="D351" s="5">
        <v>-30.550001000000002</v>
      </c>
      <c r="F351" t="s">
        <v>778</v>
      </c>
    </row>
    <row r="352" spans="1:6">
      <c r="A352" s="1" t="str">
        <f>FossilMiddens!A131</f>
        <v>BR1 (base)</v>
      </c>
      <c r="B352" s="1" t="s">
        <v>161</v>
      </c>
      <c r="C352" s="5">
        <f>FossilMiddens!H131</f>
        <v>138.55000000000001</v>
      </c>
      <c r="D352" s="5">
        <f>FossilMiddens!I131</f>
        <v>-31.35</v>
      </c>
    </row>
    <row r="353" spans="1:4">
      <c r="A353" s="1" t="str">
        <f>FossilMiddens!A145</f>
        <v>BR1 (base)</v>
      </c>
      <c r="B353" s="1" t="s">
        <v>161</v>
      </c>
      <c r="C353" s="5">
        <f>FossilMiddens!H145</f>
        <v>138.55000000000001</v>
      </c>
      <c r="D353" s="5">
        <f>FossilMiddens!I145</f>
        <v>-31.35</v>
      </c>
    </row>
    <row r="354" spans="1:4">
      <c r="A354" s="1" t="str">
        <f>FossilMiddens!A132</f>
        <v>BR1 (top)</v>
      </c>
      <c r="B354" s="1" t="s">
        <v>161</v>
      </c>
      <c r="C354" s="5">
        <f>FossilMiddens!H132</f>
        <v>138.55000000000001</v>
      </c>
      <c r="D354" s="5">
        <f>FossilMiddens!I132</f>
        <v>-31.35</v>
      </c>
    </row>
    <row r="355" spans="1:4">
      <c r="A355" s="1" t="str">
        <f>FossilMiddens!A146</f>
        <v>BR1 (top)</v>
      </c>
      <c r="B355" s="1" t="s">
        <v>161</v>
      </c>
      <c r="C355" s="5">
        <f>FossilMiddens!H146</f>
        <v>138.55000000000001</v>
      </c>
      <c r="D355" s="5">
        <f>FossilMiddens!I146</f>
        <v>-31.35</v>
      </c>
    </row>
    <row r="356" spans="1:4">
      <c r="A356" s="1" t="str">
        <f>FossilMiddens!A133</f>
        <v>BR2 (middle)</v>
      </c>
      <c r="B356" s="1" t="s">
        <v>161</v>
      </c>
      <c r="C356" s="5">
        <f>FossilMiddens!H133</f>
        <v>138.55000000000001</v>
      </c>
      <c r="D356" s="5">
        <f>FossilMiddens!I133</f>
        <v>-31.35</v>
      </c>
    </row>
    <row r="357" spans="1:4">
      <c r="A357" s="1" t="str">
        <f>FossilMiddens!A134</f>
        <v>BR3 (base)</v>
      </c>
      <c r="B357" s="1" t="s">
        <v>161</v>
      </c>
      <c r="C357" s="5">
        <f>FossilMiddens!H134</f>
        <v>138.55000000000001</v>
      </c>
      <c r="D357" s="5">
        <f>FossilMiddens!I134</f>
        <v>-31.35</v>
      </c>
    </row>
    <row r="358" spans="1:4">
      <c r="A358" s="1" t="str">
        <f>FossilMiddens!A135</f>
        <v>BR3 (base)</v>
      </c>
      <c r="B358" s="1" t="s">
        <v>161</v>
      </c>
      <c r="C358" s="5">
        <f>FossilMiddens!H135</f>
        <v>138.55000000000001</v>
      </c>
      <c r="D358" s="5">
        <f>FossilMiddens!I135</f>
        <v>-31.35</v>
      </c>
    </row>
    <row r="359" spans="1:4">
      <c r="A359" s="1" t="str">
        <f>FossilMiddens!A136</f>
        <v>BR3 (top)</v>
      </c>
      <c r="B359" s="1" t="s">
        <v>161</v>
      </c>
      <c r="C359" s="5">
        <f>FossilMiddens!H136</f>
        <v>138.55000000000001</v>
      </c>
      <c r="D359" s="5">
        <f>FossilMiddens!I136</f>
        <v>-31.35</v>
      </c>
    </row>
    <row r="360" spans="1:4">
      <c r="A360" s="1" t="str">
        <f>FossilMiddens!A137</f>
        <v>BR3 (top)</v>
      </c>
      <c r="B360" s="1" t="s">
        <v>161</v>
      </c>
      <c r="C360" s="5">
        <f>FossilMiddens!H137</f>
        <v>138.55000000000001</v>
      </c>
      <c r="D360" s="5">
        <f>FossilMiddens!I137</f>
        <v>-31.35</v>
      </c>
    </row>
    <row r="361" spans="1:4">
      <c r="A361" s="1" t="str">
        <f>FossilMiddens!A138</f>
        <v>BR4 (10cm)</v>
      </c>
      <c r="B361" s="1" t="s">
        <v>161</v>
      </c>
      <c r="C361" s="5">
        <f>FossilMiddens!H138</f>
        <v>138.55000000000001</v>
      </c>
      <c r="D361" s="5">
        <f>FossilMiddens!I138</f>
        <v>-31.35</v>
      </c>
    </row>
    <row r="362" spans="1:4">
      <c r="A362" s="1" t="str">
        <f>FossilMiddens!A139</f>
        <v>BR4 (10cm)</v>
      </c>
      <c r="B362" s="1" t="s">
        <v>161</v>
      </c>
      <c r="C362" s="5">
        <f>FossilMiddens!H139</f>
        <v>138.55000000000001</v>
      </c>
      <c r="D362" s="5">
        <f>FossilMiddens!I139</f>
        <v>-31.35</v>
      </c>
    </row>
    <row r="363" spans="1:4">
      <c r="A363" s="1" t="str">
        <f>FossilMiddens!A147</f>
        <v>BR4 (10cm)</v>
      </c>
      <c r="B363" s="1" t="s">
        <v>161</v>
      </c>
      <c r="C363" s="5">
        <f>FossilMiddens!H147</f>
        <v>138.55000000000001</v>
      </c>
      <c r="D363" s="5">
        <f>FossilMiddens!I147</f>
        <v>-31.35</v>
      </c>
    </row>
    <row r="364" spans="1:4">
      <c r="A364" s="1" t="str">
        <f>FossilMiddens!A148</f>
        <v>BR4 (20cm)</v>
      </c>
      <c r="B364" s="1" t="s">
        <v>161</v>
      </c>
      <c r="C364" s="5">
        <f>FossilMiddens!H148</f>
        <v>138.55000000000001</v>
      </c>
      <c r="D364" s="5">
        <f>FossilMiddens!I148</f>
        <v>-31.35</v>
      </c>
    </row>
    <row r="365" spans="1:4">
      <c r="A365" s="1" t="str">
        <f>FossilMiddens!A149</f>
        <v>BR4 (30cm)</v>
      </c>
      <c r="B365" s="1" t="s">
        <v>161</v>
      </c>
      <c r="C365" s="5">
        <f>FossilMiddens!H149</f>
        <v>138.55000000000001</v>
      </c>
      <c r="D365" s="5">
        <f>FossilMiddens!I149</f>
        <v>-31.35</v>
      </c>
    </row>
    <row r="366" spans="1:4">
      <c r="A366" s="1" t="str">
        <f>FossilMiddens!A150</f>
        <v>BR4 (40cm)</v>
      </c>
      <c r="B366" s="1" t="s">
        <v>161</v>
      </c>
      <c r="C366" s="5">
        <f>FossilMiddens!H150</f>
        <v>138.55000000000001</v>
      </c>
      <c r="D366" s="5">
        <f>FossilMiddens!I150</f>
        <v>-31.35</v>
      </c>
    </row>
    <row r="367" spans="1:4">
      <c r="A367" s="1" t="str">
        <f>FossilMiddens!A151</f>
        <v>BR4 (50cm)</v>
      </c>
      <c r="B367" s="1" t="s">
        <v>161</v>
      </c>
      <c r="C367" s="5">
        <f>FossilMiddens!H151</f>
        <v>138.55000000000001</v>
      </c>
      <c r="D367" s="5">
        <f>FossilMiddens!I151</f>
        <v>-31.35</v>
      </c>
    </row>
    <row r="368" spans="1:4">
      <c r="A368" s="1" t="str">
        <f>FossilMiddens!A140</f>
        <v>BR4 (60cm)</v>
      </c>
      <c r="B368" s="1" t="s">
        <v>161</v>
      </c>
      <c r="C368" s="5">
        <f>FossilMiddens!H140</f>
        <v>138.55000000000001</v>
      </c>
      <c r="D368" s="5">
        <f>FossilMiddens!I140</f>
        <v>-31.35</v>
      </c>
    </row>
    <row r="369" spans="1:6">
      <c r="A369" s="1" t="str">
        <f>FossilMiddens!A141</f>
        <v>BR4 (60cm)</v>
      </c>
      <c r="B369" s="1" t="s">
        <v>161</v>
      </c>
      <c r="C369" s="5">
        <f>FossilMiddens!H141</f>
        <v>138.55000000000001</v>
      </c>
      <c r="D369" s="5">
        <f>FossilMiddens!I141</f>
        <v>-31.35</v>
      </c>
    </row>
    <row r="370" spans="1:6">
      <c r="A370" s="1" t="str">
        <f>FossilMiddens!A152</f>
        <v>BR4 (60cm)</v>
      </c>
      <c r="B370" s="1" t="s">
        <v>161</v>
      </c>
      <c r="C370" s="5">
        <f>FossilMiddens!H152</f>
        <v>138.55000000000001</v>
      </c>
      <c r="D370" s="5">
        <f>FossilMiddens!I152</f>
        <v>-31.35</v>
      </c>
    </row>
    <row r="371" spans="1:6">
      <c r="A371" s="1" t="str">
        <f>FossilMiddens!A142</f>
        <v>BR7 (base)</v>
      </c>
      <c r="B371" s="1" t="s">
        <v>161</v>
      </c>
      <c r="C371" s="5">
        <f>FossilMiddens!H142</f>
        <v>138.55000000000001</v>
      </c>
      <c r="D371" s="5">
        <f>FossilMiddens!I142</f>
        <v>-31.35</v>
      </c>
    </row>
    <row r="372" spans="1:6">
      <c r="A372" s="1" t="str">
        <f>FossilMiddens!A143</f>
        <v>BRACHINA 1 GORGE</v>
      </c>
      <c r="B372" s="1" t="s">
        <v>161</v>
      </c>
      <c r="C372" s="5">
        <f>FossilMiddens!H143</f>
        <v>138.55000000000001</v>
      </c>
      <c r="D372" s="5">
        <f>FossilMiddens!I143</f>
        <v>-31.35</v>
      </c>
    </row>
    <row r="373" spans="1:6">
      <c r="A373" s="1" t="str">
        <f>FossilMiddens!A144</f>
        <v>BRACHINA 2</v>
      </c>
      <c r="B373" s="1" t="s">
        <v>161</v>
      </c>
      <c r="C373" s="5">
        <f>FossilMiddens!H144</f>
        <v>138.55000000000001</v>
      </c>
      <c r="D373" s="5">
        <f>FossilMiddens!I144</f>
        <v>-31.35</v>
      </c>
    </row>
    <row r="374" spans="1:6">
      <c r="A374" s="1">
        <v>12737</v>
      </c>
      <c r="B374" s="1" t="s">
        <v>161</v>
      </c>
      <c r="C374" s="5">
        <v>138.74999600000001</v>
      </c>
      <c r="D374" s="5">
        <v>-31.500001999999999</v>
      </c>
      <c r="F374" t="s">
        <v>783</v>
      </c>
    </row>
    <row r="375" spans="1:6">
      <c r="A375" s="1">
        <v>107226</v>
      </c>
      <c r="B375" s="1" t="s">
        <v>161</v>
      </c>
      <c r="C375" s="5">
        <v>138.77418599999999</v>
      </c>
      <c r="D375" s="5">
        <v>-29.392106999999999</v>
      </c>
    </row>
    <row r="376" spans="1:6">
      <c r="A376" s="1">
        <v>113906</v>
      </c>
      <c r="B376" s="1" t="s">
        <v>161</v>
      </c>
      <c r="C376" s="5">
        <v>138.81952899999999</v>
      </c>
      <c r="D376" s="5">
        <v>-30.340722</v>
      </c>
    </row>
    <row r="377" spans="1:6">
      <c r="A377" s="1">
        <v>12735</v>
      </c>
      <c r="B377" s="1" t="s">
        <v>161</v>
      </c>
      <c r="C377" s="5">
        <v>138.833325</v>
      </c>
      <c r="D377" s="5">
        <v>-31.500005999999999</v>
      </c>
    </row>
    <row r="378" spans="1:6">
      <c r="A378" s="1">
        <v>12654</v>
      </c>
      <c r="B378" s="1" t="s">
        <v>161</v>
      </c>
      <c r="C378" s="5">
        <v>138.916662</v>
      </c>
      <c r="D378" s="5">
        <v>-32.15</v>
      </c>
    </row>
    <row r="379" spans="1:6">
      <c r="A379" s="1">
        <v>12656</v>
      </c>
      <c r="B379" s="1" t="s">
        <v>161</v>
      </c>
      <c r="C379" s="5">
        <v>138.916662</v>
      </c>
      <c r="D379" s="5">
        <v>-32.15</v>
      </c>
    </row>
    <row r="380" spans="1:6">
      <c r="A380" s="1">
        <v>12676</v>
      </c>
      <c r="B380" s="1" t="s">
        <v>161</v>
      </c>
      <c r="C380" s="5">
        <v>138.916662</v>
      </c>
      <c r="D380" s="5">
        <v>-32.15</v>
      </c>
    </row>
    <row r="381" spans="1:6">
      <c r="A381" s="1">
        <v>12731</v>
      </c>
      <c r="B381" s="1" t="s">
        <v>161</v>
      </c>
      <c r="C381" s="5">
        <v>139.14999399999999</v>
      </c>
      <c r="D381" s="5">
        <v>-30.566666999999999</v>
      </c>
    </row>
    <row r="382" spans="1:6">
      <c r="A382" s="1">
        <v>12569</v>
      </c>
      <c r="B382" s="1" t="s">
        <v>161</v>
      </c>
      <c r="C382" s="5">
        <v>139.21666400000001</v>
      </c>
      <c r="D382" s="5">
        <v>-30.683335</v>
      </c>
    </row>
    <row r="383" spans="1:6">
      <c r="A383" s="1">
        <v>12683</v>
      </c>
      <c r="B383" s="1" t="s">
        <v>161</v>
      </c>
      <c r="C383" s="5">
        <v>139.266662</v>
      </c>
      <c r="D383" s="5">
        <v>-30.966673</v>
      </c>
    </row>
    <row r="384" spans="1:6">
      <c r="A384" s="1">
        <v>114227</v>
      </c>
      <c r="B384" s="1" t="s">
        <v>161</v>
      </c>
      <c r="C384" s="5">
        <v>139.273877</v>
      </c>
      <c r="D384" s="5">
        <v>-30.175476</v>
      </c>
    </row>
    <row r="385" spans="1:4">
      <c r="A385" s="1">
        <v>12604</v>
      </c>
      <c r="B385" s="1" t="s">
        <v>161</v>
      </c>
      <c r="C385" s="5">
        <v>139.28332499999999</v>
      </c>
      <c r="D385" s="5">
        <v>-30.666668000000001</v>
      </c>
    </row>
    <row r="386" spans="1:4">
      <c r="A386" s="1" t="str">
        <f>FossilMiddens!A99</f>
        <v>CG1</v>
      </c>
      <c r="B386" s="1" t="s">
        <v>161</v>
      </c>
      <c r="C386" s="5">
        <f>FossilMiddens!H99</f>
        <v>139.33333333333334</v>
      </c>
      <c r="D386" s="5">
        <f>FossilMiddens!I99</f>
        <v>-30.966666666666665</v>
      </c>
    </row>
    <row r="387" spans="1:4">
      <c r="A387" s="1" t="str">
        <f>FossilMiddens!A100</f>
        <v>MC1 (centre)</v>
      </c>
      <c r="B387" s="1" t="s">
        <v>161</v>
      </c>
      <c r="C387" s="5">
        <f>FossilMiddens!H100</f>
        <v>139.33333333333334</v>
      </c>
      <c r="D387" s="5">
        <f>FossilMiddens!I100</f>
        <v>-30.966666666666665</v>
      </c>
    </row>
    <row r="388" spans="1:4">
      <c r="A388" s="1" t="str">
        <f>FossilMiddens!A101</f>
        <v>MC1 (exposed base)</v>
      </c>
      <c r="B388" s="1" t="s">
        <v>161</v>
      </c>
      <c r="C388" s="5">
        <f>FossilMiddens!H101</f>
        <v>139.33333333333334</v>
      </c>
      <c r="D388" s="5">
        <f>FossilMiddens!I101</f>
        <v>-30.966666666666665</v>
      </c>
    </row>
    <row r="389" spans="1:4">
      <c r="A389" s="1" t="str">
        <f>FossilMiddens!A102</f>
        <v>MC2 (overhang)</v>
      </c>
      <c r="B389" s="1" t="s">
        <v>161</v>
      </c>
      <c r="C389" s="5">
        <f>FossilMiddens!H102</f>
        <v>139.33333333333334</v>
      </c>
      <c r="D389" s="5">
        <f>FossilMiddens!I102</f>
        <v>-30.966666666666665</v>
      </c>
    </row>
    <row r="390" spans="1:4">
      <c r="A390" s="1" t="str">
        <f>FossilMiddens!A103</f>
        <v>MC2 (top)</v>
      </c>
      <c r="B390" s="1" t="s">
        <v>161</v>
      </c>
      <c r="C390" s="5">
        <f>FossilMiddens!H103</f>
        <v>139.33333333333334</v>
      </c>
      <c r="D390" s="5">
        <f>FossilMiddens!I103</f>
        <v>-30.966666666666665</v>
      </c>
    </row>
    <row r="391" spans="1:4">
      <c r="A391" s="1" t="str">
        <f>FossilMiddens!A104</f>
        <v>MC2 (top)</v>
      </c>
      <c r="B391" s="1" t="s">
        <v>161</v>
      </c>
      <c r="C391" s="5">
        <f>FossilMiddens!H104</f>
        <v>139.33333333333334</v>
      </c>
      <c r="D391" s="5">
        <f>FossilMiddens!I104</f>
        <v>-30.966666666666665</v>
      </c>
    </row>
    <row r="392" spans="1:4">
      <c r="A392" s="1" t="str">
        <f>FossilMiddens!A105</f>
        <v>MD3</v>
      </c>
      <c r="B392" s="1" t="s">
        <v>161</v>
      </c>
      <c r="C392" s="5">
        <f>FossilMiddens!H105</f>
        <v>139.33333333333334</v>
      </c>
      <c r="D392" s="5">
        <f>FossilMiddens!I105</f>
        <v>-30.966666666666665</v>
      </c>
    </row>
    <row r="393" spans="1:4">
      <c r="A393" s="1" t="str">
        <f>FossilMiddens!A106</f>
        <v>SAJQ85L</v>
      </c>
      <c r="B393" s="1" t="s">
        <v>161</v>
      </c>
      <c r="C393" s="5">
        <f>FossilMiddens!H106</f>
        <v>139.33333333333334</v>
      </c>
      <c r="D393" s="5">
        <f>FossilMiddens!I106</f>
        <v>-30.966666666666665</v>
      </c>
    </row>
    <row r="394" spans="1:4">
      <c r="A394" s="1" t="str">
        <f>FossilMiddens!A107</f>
        <v>SAJQ85L</v>
      </c>
      <c r="B394" s="1" t="s">
        <v>161</v>
      </c>
      <c r="C394" s="5">
        <f>FossilMiddens!H107</f>
        <v>139.33333333333334</v>
      </c>
      <c r="D394" s="5">
        <f>FossilMiddens!I107</f>
        <v>-30.966666666666665</v>
      </c>
    </row>
    <row r="395" spans="1:4">
      <c r="A395" s="1" t="str">
        <f>FossilMiddens!A108</f>
        <v>SAJQ85R</v>
      </c>
      <c r="B395" s="1" t="s">
        <v>161</v>
      </c>
      <c r="C395" s="5">
        <f>FossilMiddens!H108</f>
        <v>139.33333333333334</v>
      </c>
      <c r="D395" s="5">
        <f>FossilMiddens!I108</f>
        <v>-30.966666666666665</v>
      </c>
    </row>
    <row r="396" spans="1:4">
      <c r="A396" s="1" t="str">
        <f>FossilMiddens!A109</f>
        <v>SAJQ85R(base)</v>
      </c>
      <c r="B396" s="1" t="s">
        <v>161</v>
      </c>
      <c r="C396" s="5">
        <f>FossilMiddens!H109</f>
        <v>139.33333333333334</v>
      </c>
      <c r="D396" s="5">
        <f>FossilMiddens!I109</f>
        <v>-30.966666666666665</v>
      </c>
    </row>
    <row r="397" spans="1:4">
      <c r="A397" s="1" t="str">
        <f>FossilMiddens!A110</f>
        <v>SAJQ85R(base)</v>
      </c>
      <c r="B397" s="1" t="s">
        <v>161</v>
      </c>
      <c r="C397" s="5">
        <f>FossilMiddens!H110</f>
        <v>139.33333333333334</v>
      </c>
      <c r="D397" s="5">
        <f>FossilMiddens!I110</f>
        <v>-30.966666666666665</v>
      </c>
    </row>
    <row r="398" spans="1:4">
      <c r="A398" s="1" t="str">
        <f>FossilMiddens!A111</f>
        <v>SAJQ89</v>
      </c>
      <c r="B398" s="1" t="s">
        <v>161</v>
      </c>
      <c r="C398" s="5">
        <f>FossilMiddens!H111</f>
        <v>139.33333333333334</v>
      </c>
      <c r="D398" s="5">
        <f>FossilMiddens!I111</f>
        <v>-30.966666666666665</v>
      </c>
    </row>
    <row r="399" spans="1:4">
      <c r="A399" s="1" t="str">
        <f>FossilMiddens!A83</f>
        <v>SAJQ/79i</v>
      </c>
      <c r="B399" s="1" t="s">
        <v>161</v>
      </c>
      <c r="C399" s="5">
        <f>FossilMiddens!H83</f>
        <v>139.33333333333334</v>
      </c>
      <c r="D399" s="5">
        <f>FossilMiddens!I83</f>
        <v>-30.333333333333332</v>
      </c>
    </row>
    <row r="400" spans="1:4">
      <c r="A400" s="1" t="str">
        <f>FossilMiddens!A84</f>
        <v>SAJQ/79ii</v>
      </c>
      <c r="B400" s="1" t="s">
        <v>161</v>
      </c>
      <c r="C400" s="5">
        <f>FossilMiddens!H84</f>
        <v>139.33333333333334</v>
      </c>
      <c r="D400" s="5">
        <f>FossilMiddens!I84</f>
        <v>-30.333333333333332</v>
      </c>
    </row>
    <row r="401" spans="1:4">
      <c r="A401" s="1" t="str">
        <f>FossilMiddens!A85</f>
        <v>SAJQ/79ii</v>
      </c>
      <c r="B401" s="1" t="s">
        <v>161</v>
      </c>
      <c r="C401" s="5">
        <f>FossilMiddens!H85</f>
        <v>139.33333333333334</v>
      </c>
      <c r="D401" s="5">
        <f>FossilMiddens!I85</f>
        <v>-30.333333333333332</v>
      </c>
    </row>
    <row r="402" spans="1:4">
      <c r="A402" s="1" t="str">
        <f>FossilMiddens!A86</f>
        <v>SAJQ/85Li</v>
      </c>
      <c r="B402" s="1" t="s">
        <v>161</v>
      </c>
      <c r="C402" s="5">
        <f>FossilMiddens!H86</f>
        <v>139.33333333333334</v>
      </c>
      <c r="D402" s="5">
        <f>FossilMiddens!I86</f>
        <v>-30.333333333333332</v>
      </c>
    </row>
    <row r="403" spans="1:4">
      <c r="A403" s="1" t="str">
        <f>FossilMiddens!A87</f>
        <v>SAJQ/85Lii</v>
      </c>
      <c r="B403" s="1" t="s">
        <v>161</v>
      </c>
      <c r="C403" s="5">
        <f>FossilMiddens!H87</f>
        <v>139.33333333333334</v>
      </c>
      <c r="D403" s="5">
        <f>FossilMiddens!I87</f>
        <v>-30.333333333333332</v>
      </c>
    </row>
    <row r="404" spans="1:4">
      <c r="A404" s="1" t="str">
        <f>FossilMiddens!A88</f>
        <v>SAJQ/85Rii</v>
      </c>
      <c r="B404" s="1" t="s">
        <v>161</v>
      </c>
      <c r="C404" s="5">
        <f>FossilMiddens!H88</f>
        <v>139.33333333333334</v>
      </c>
      <c r="D404" s="5">
        <f>FossilMiddens!I88</f>
        <v>-30.333333333333332</v>
      </c>
    </row>
    <row r="405" spans="1:4">
      <c r="A405" s="1" t="str">
        <f>FossilMiddens!A89</f>
        <v>SAJQ/85Rii</v>
      </c>
      <c r="B405" s="1" t="s">
        <v>161</v>
      </c>
      <c r="C405" s="5">
        <f>FossilMiddens!H89</f>
        <v>139.33333333333334</v>
      </c>
      <c r="D405" s="5">
        <f>FossilMiddens!I89</f>
        <v>-30.333333333333332</v>
      </c>
    </row>
    <row r="406" spans="1:4">
      <c r="A406" s="1" t="str">
        <f>FossilMiddens!A90</f>
        <v>SAJQ76</v>
      </c>
      <c r="B406" s="1" t="s">
        <v>161</v>
      </c>
      <c r="C406" s="5">
        <f>FossilMiddens!H90</f>
        <v>139.33333333333334</v>
      </c>
      <c r="D406" s="5">
        <f>FossilMiddens!I90</f>
        <v>-30.333333333333332</v>
      </c>
    </row>
    <row r="407" spans="1:4">
      <c r="A407" s="1" t="str">
        <f>FossilMiddens!A91</f>
        <v>SAJQ77</v>
      </c>
      <c r="B407" s="1" t="s">
        <v>161</v>
      </c>
      <c r="C407" s="5">
        <f>FossilMiddens!H91</f>
        <v>139.33333333333334</v>
      </c>
      <c r="D407" s="5">
        <f>FossilMiddens!I91</f>
        <v>-30.333333333333332</v>
      </c>
    </row>
    <row r="408" spans="1:4">
      <c r="A408" s="1" t="str">
        <f>FossilMiddens!A92</f>
        <v>SAJQ78</v>
      </c>
      <c r="B408" s="1" t="s">
        <v>161</v>
      </c>
      <c r="C408" s="5">
        <f>FossilMiddens!H92</f>
        <v>139.33333333333334</v>
      </c>
      <c r="D408" s="5">
        <f>FossilMiddens!I92</f>
        <v>-30.333333333333332</v>
      </c>
    </row>
    <row r="409" spans="1:4">
      <c r="A409" s="1" t="str">
        <f>FossilMiddens!A93</f>
        <v>SAJQ79</v>
      </c>
      <c r="B409" s="1" t="s">
        <v>161</v>
      </c>
      <c r="C409" s="5">
        <f>FossilMiddens!H93</f>
        <v>139.33333333333334</v>
      </c>
      <c r="D409" s="5">
        <f>FossilMiddens!I93</f>
        <v>-30.333333333333332</v>
      </c>
    </row>
    <row r="410" spans="1:4">
      <c r="A410" s="1" t="str">
        <f>FossilMiddens!A94</f>
        <v>SAJQ91</v>
      </c>
      <c r="B410" s="1" t="s">
        <v>161</v>
      </c>
      <c r="C410" s="5">
        <f>FossilMiddens!H94</f>
        <v>139.33333333333334</v>
      </c>
      <c r="D410" s="5">
        <f>FossilMiddens!I94</f>
        <v>-30.333333333333332</v>
      </c>
    </row>
    <row r="411" spans="1:4">
      <c r="A411" s="1" t="str">
        <f>FossilMiddens!A95</f>
        <v>SAJQ92</v>
      </c>
      <c r="B411" s="1" t="s">
        <v>161</v>
      </c>
      <c r="C411" s="5">
        <f>FossilMiddens!H95</f>
        <v>139.33333333333334</v>
      </c>
      <c r="D411" s="5">
        <f>FossilMiddens!I95</f>
        <v>-30.333333333333332</v>
      </c>
    </row>
    <row r="412" spans="1:4">
      <c r="A412" s="1">
        <v>12694</v>
      </c>
      <c r="B412" s="1" t="s">
        <v>161</v>
      </c>
      <c r="C412" s="5">
        <v>140.166662</v>
      </c>
      <c r="D412" s="5">
        <v>-32.050001999999999</v>
      </c>
    </row>
    <row r="413" spans="1:4">
      <c r="A413" s="1">
        <v>6603</v>
      </c>
      <c r="B413" s="1" t="s">
        <v>161</v>
      </c>
      <c r="C413" s="5">
        <v>140.17833400000001</v>
      </c>
      <c r="D413" s="5">
        <v>-32.719478000000002</v>
      </c>
    </row>
    <row r="414" spans="1:4">
      <c r="A414" s="1">
        <v>12642</v>
      </c>
      <c r="B414" s="1" t="s">
        <v>161</v>
      </c>
      <c r="C414" s="5">
        <v>140.19999899999999</v>
      </c>
      <c r="D414" s="5">
        <v>-32.716669000000003</v>
      </c>
    </row>
    <row r="415" spans="1:4">
      <c r="A415" s="1">
        <v>12729</v>
      </c>
      <c r="B415" s="1" t="s">
        <v>161</v>
      </c>
      <c r="C415" s="5">
        <v>140.383332</v>
      </c>
      <c r="D415" s="5">
        <v>-34.225009</v>
      </c>
    </row>
    <row r="416" spans="1:4">
      <c r="A416" s="1">
        <v>12567</v>
      </c>
      <c r="B416" s="1" t="s">
        <v>161</v>
      </c>
      <c r="C416" s="5">
        <v>140.783331</v>
      </c>
      <c r="D416" s="5">
        <v>-37.833334000000001</v>
      </c>
    </row>
    <row r="417" spans="1:4">
      <c r="A417" s="1">
        <v>12710</v>
      </c>
      <c r="B417" s="1" t="s">
        <v>161</v>
      </c>
      <c r="C417" s="5">
        <v>140.916663</v>
      </c>
      <c r="D417" s="5">
        <v>-32.450007999999997</v>
      </c>
    </row>
    <row r="418" spans="1:4">
      <c r="A418" s="1">
        <v>12579</v>
      </c>
      <c r="B418" s="1" t="s">
        <v>161</v>
      </c>
      <c r="C418" s="5">
        <v>141.49999</v>
      </c>
      <c r="D418" s="5">
        <v>-31.183336000000001</v>
      </c>
    </row>
    <row r="419" spans="1:4">
      <c r="A419" s="1">
        <v>12582</v>
      </c>
      <c r="B419" s="1" t="s">
        <v>161</v>
      </c>
      <c r="C419" s="5">
        <v>141.766659</v>
      </c>
      <c r="D419" s="5">
        <v>-29.083341000000001</v>
      </c>
    </row>
    <row r="420" spans="1:4">
      <c r="A420" s="1">
        <v>12583</v>
      </c>
      <c r="B420" s="1" t="s">
        <v>161</v>
      </c>
      <c r="C420" s="5">
        <v>141.88332700000001</v>
      </c>
      <c r="D420" s="5">
        <v>-29.083337</v>
      </c>
    </row>
    <row r="421" spans="1:4">
      <c r="A421" s="1">
        <v>12584</v>
      </c>
      <c r="B421" s="1" t="s">
        <v>161</v>
      </c>
      <c r="C421" s="5">
        <v>141.94999100000001</v>
      </c>
      <c r="D421" s="5">
        <v>-29.033332999999999</v>
      </c>
    </row>
    <row r="422" spans="1:4">
      <c r="A422" s="1">
        <v>12577</v>
      </c>
      <c r="B422" s="1" t="s">
        <v>161</v>
      </c>
      <c r="C422" s="5">
        <v>142.333324</v>
      </c>
      <c r="D422" s="5">
        <v>-32.666671999999998</v>
      </c>
    </row>
    <row r="423" spans="1:4">
      <c r="A423" s="1" t="str">
        <f>FossilMiddens!A113</f>
        <v>GAP RANGE E (GHE) LOWER RIGHT</v>
      </c>
      <c r="B423" s="1" t="s">
        <v>161</v>
      </c>
      <c r="C423" s="5">
        <f>FossilMiddens!H113</f>
        <v>142.56666666666666</v>
      </c>
      <c r="D423" s="5">
        <f>FossilMiddens!I113</f>
        <v>-31.066666666666666</v>
      </c>
    </row>
    <row r="424" spans="1:4">
      <c r="A424" s="1" t="str">
        <f>FossilMiddens!A114</f>
        <v>GH E1</v>
      </c>
      <c r="B424" s="1" t="s">
        <v>161</v>
      </c>
      <c r="C424" s="5">
        <f>FossilMiddens!H114</f>
        <v>142.56666666666666</v>
      </c>
      <c r="D424" s="5">
        <f>FossilMiddens!I114</f>
        <v>-31.066666666666666</v>
      </c>
    </row>
    <row r="425" spans="1:4">
      <c r="A425" s="1" t="str">
        <f>FossilMiddens!A115</f>
        <v>GH E2</v>
      </c>
      <c r="B425" s="1" t="s">
        <v>161</v>
      </c>
      <c r="C425" s="5">
        <f>FossilMiddens!H115</f>
        <v>142.56666666666666</v>
      </c>
      <c r="D425" s="5">
        <f>FossilMiddens!I115</f>
        <v>-31.066666666666666</v>
      </c>
    </row>
    <row r="426" spans="1:4">
      <c r="A426" s="1" t="str">
        <f>FossilMiddens!A116</f>
        <v>GH E3 (I)</v>
      </c>
      <c r="B426" s="1" t="s">
        <v>161</v>
      </c>
      <c r="C426" s="5">
        <f>FossilMiddens!H116</f>
        <v>142.56666666666666</v>
      </c>
      <c r="D426" s="5">
        <f>FossilMiddens!I116</f>
        <v>-31.066666666666666</v>
      </c>
    </row>
    <row r="427" spans="1:4">
      <c r="A427" s="1" t="str">
        <f>FossilMiddens!A117</f>
        <v>GH E3 (II)</v>
      </c>
      <c r="B427" s="1" t="s">
        <v>161</v>
      </c>
      <c r="C427" s="5">
        <f>FossilMiddens!H117</f>
        <v>142.56666666666666</v>
      </c>
      <c r="D427" s="5">
        <f>FossilMiddens!I117</f>
        <v>-31.066666666666666</v>
      </c>
    </row>
    <row r="428" spans="1:4">
      <c r="A428" s="1" t="str">
        <f>FossilMiddens!A118</f>
        <v>GH E3 (III)</v>
      </c>
      <c r="B428" s="1" t="s">
        <v>161</v>
      </c>
      <c r="C428" s="5">
        <f>FossilMiddens!H118</f>
        <v>142.56666666666666</v>
      </c>
      <c r="D428" s="5">
        <f>FossilMiddens!I118</f>
        <v>-31.066666666666666</v>
      </c>
    </row>
    <row r="429" spans="1:4">
      <c r="A429" s="1" t="str">
        <f>FossilMiddens!A119</f>
        <v>GH E4</v>
      </c>
      <c r="B429" s="1" t="s">
        <v>161</v>
      </c>
      <c r="C429" s="5">
        <f>FossilMiddens!H119</f>
        <v>142.56666666666666</v>
      </c>
      <c r="D429" s="5">
        <f>FossilMiddens!I119</f>
        <v>-31.066666666666666</v>
      </c>
    </row>
    <row r="430" spans="1:4">
      <c r="A430" s="1" t="str">
        <f>FossilMiddens!A120</f>
        <v>GH E5 (I)</v>
      </c>
      <c r="B430" s="1" t="s">
        <v>161</v>
      </c>
      <c r="C430" s="5">
        <f>FossilMiddens!H120</f>
        <v>142.56666666666666</v>
      </c>
      <c r="D430" s="5">
        <f>FossilMiddens!I120</f>
        <v>-31.066666666666666</v>
      </c>
    </row>
    <row r="431" spans="1:4">
      <c r="A431" s="1" t="str">
        <f>FossilMiddens!A121</f>
        <v>GH E5 (II) lower left</v>
      </c>
      <c r="B431" s="1" t="s">
        <v>161</v>
      </c>
      <c r="C431" s="5">
        <f>FossilMiddens!H121</f>
        <v>142.56666666666666</v>
      </c>
      <c r="D431" s="5">
        <f>FossilMiddens!I121</f>
        <v>-31.066666666666666</v>
      </c>
    </row>
    <row r="432" spans="1:4">
      <c r="A432" s="1" t="str">
        <f>FossilMiddens!A122</f>
        <v>GH3 (I)</v>
      </c>
      <c r="B432" s="1" t="s">
        <v>161</v>
      </c>
      <c r="C432" s="5">
        <f>FossilMiddens!H122</f>
        <v>142.56666666666666</v>
      </c>
      <c r="D432" s="5">
        <f>FossilMiddens!I122</f>
        <v>-31.066666666666666</v>
      </c>
    </row>
    <row r="433" spans="1:4">
      <c r="A433" s="1" t="str">
        <f>FossilMiddens!A123</f>
        <v>GH3 (ii)</v>
      </c>
      <c r="B433" s="1" t="s">
        <v>161</v>
      </c>
      <c r="C433" s="5">
        <f>FossilMiddens!H123</f>
        <v>142.56666666666666</v>
      </c>
      <c r="D433" s="5">
        <f>FossilMiddens!I123</f>
        <v>-31.066666666666666</v>
      </c>
    </row>
    <row r="434" spans="1:4">
      <c r="A434" s="1" t="str">
        <f>FossilMiddens!A112</f>
        <v>GH4 (top)</v>
      </c>
      <c r="B434" s="1" t="s">
        <v>161</v>
      </c>
      <c r="C434" s="5">
        <f>FossilMiddens!H112</f>
        <v>142.56666666666666</v>
      </c>
      <c r="D434" s="5">
        <f>FossilMiddens!I112</f>
        <v>-31.066666666666666</v>
      </c>
    </row>
    <row r="435" spans="1:4">
      <c r="A435" s="1" t="str">
        <f>FossilMiddens!A124</f>
        <v>GH6 (base)</v>
      </c>
      <c r="B435" s="1" t="s">
        <v>161</v>
      </c>
      <c r="C435" s="5">
        <f>FossilMiddens!H124</f>
        <v>142.56666666666666</v>
      </c>
      <c r="D435" s="5">
        <f>FossilMiddens!I124</f>
        <v>-31.066666666666666</v>
      </c>
    </row>
    <row r="436" spans="1:4">
      <c r="A436" s="1" t="str">
        <f>FossilMiddens!A125</f>
        <v>GH6 (top)</v>
      </c>
      <c r="B436" s="1" t="s">
        <v>161</v>
      </c>
      <c r="C436" s="5">
        <f>FossilMiddens!H125</f>
        <v>142.56666666666666</v>
      </c>
      <c r="D436" s="5">
        <f>FossilMiddens!I125</f>
        <v>-31.066666666666666</v>
      </c>
    </row>
    <row r="437" spans="1:4">
      <c r="A437" s="1" t="str">
        <f>FossilMiddens!A67</f>
        <v>ARK1</v>
      </c>
      <c r="B437" s="1" t="s">
        <v>161</v>
      </c>
      <c r="C437" s="5">
        <f>FossilMiddens!H67</f>
        <v>142.56666666666666</v>
      </c>
      <c r="D437" s="5">
        <f>FossilMiddens!I67</f>
        <v>-30.066666666666666</v>
      </c>
    </row>
    <row r="438" spans="1:4">
      <c r="A438" s="1" t="str">
        <f>FossilMiddens!A68</f>
        <v>ARK1</v>
      </c>
      <c r="B438" s="1" t="s">
        <v>161</v>
      </c>
      <c r="C438" s="5">
        <f>FossilMiddens!H68</f>
        <v>142.56666666666666</v>
      </c>
      <c r="D438" s="5">
        <f>FossilMiddens!I68</f>
        <v>-30.066666666666666</v>
      </c>
    </row>
    <row r="439" spans="1:4">
      <c r="A439" s="1" t="str">
        <f>FossilMiddens!A66</f>
        <v>HH1 base</v>
      </c>
      <c r="B439" s="1" t="s">
        <v>161</v>
      </c>
      <c r="C439" s="5">
        <f>FossilMiddens!H66</f>
        <v>142.56666666666666</v>
      </c>
      <c r="D439" s="5">
        <f>FossilMiddens!I66</f>
        <v>-30.066666666666666</v>
      </c>
    </row>
    <row r="440" spans="1:4">
      <c r="A440" s="1" t="str">
        <f>FossilMiddens!A69</f>
        <v>HH1 top</v>
      </c>
      <c r="B440" s="1" t="s">
        <v>161</v>
      </c>
      <c r="C440" s="5">
        <f>FossilMiddens!H69</f>
        <v>142.56666666666666</v>
      </c>
      <c r="D440" s="5">
        <f>FossilMiddens!I69</f>
        <v>-30.066666666666666</v>
      </c>
    </row>
    <row r="441" spans="1:4">
      <c r="A441" s="1" t="str">
        <f>FossilMiddens!A70</f>
        <v>NWCK 1</v>
      </c>
      <c r="B441" s="1" t="s">
        <v>161</v>
      </c>
      <c r="C441" s="5">
        <f>FossilMiddens!H70</f>
        <v>142.56666666666666</v>
      </c>
      <c r="D441" s="5">
        <f>FossilMiddens!I70</f>
        <v>-30.066666666666666</v>
      </c>
    </row>
    <row r="442" spans="1:4">
      <c r="A442" s="1" t="str">
        <f>FossilMiddens!A71</f>
        <v>NWCK 2</v>
      </c>
      <c r="B442" s="1" t="s">
        <v>161</v>
      </c>
      <c r="C442" s="5">
        <f>FossilMiddens!H71</f>
        <v>142.56666666666666</v>
      </c>
      <c r="D442" s="5">
        <f>FossilMiddens!I71</f>
        <v>-30.066666666666666</v>
      </c>
    </row>
    <row r="443" spans="1:4">
      <c r="A443" s="1" t="str">
        <f>FossilMiddens!A72</f>
        <v>OT1</v>
      </c>
      <c r="B443" s="1" t="s">
        <v>161</v>
      </c>
      <c r="C443" s="5">
        <f>FossilMiddens!H72</f>
        <v>142.56666666666666</v>
      </c>
      <c r="D443" s="5">
        <f>FossilMiddens!I72</f>
        <v>-30.066666666666666</v>
      </c>
    </row>
    <row r="444" spans="1:4">
      <c r="A444" s="1" t="str">
        <f>FossilMiddens!A73</f>
        <v>OT1</v>
      </c>
      <c r="B444" s="1" t="s">
        <v>161</v>
      </c>
      <c r="C444" s="5">
        <f>FossilMiddens!H73</f>
        <v>142.56666666666666</v>
      </c>
      <c r="D444" s="5">
        <f>FossilMiddens!I73</f>
        <v>-30.066666666666666</v>
      </c>
    </row>
    <row r="445" spans="1:4">
      <c r="A445" s="1" t="str">
        <f>FossilMiddens!A74</f>
        <v>RC 1</v>
      </c>
      <c r="B445" s="1" t="s">
        <v>161</v>
      </c>
      <c r="C445" s="5">
        <f>FossilMiddens!H74</f>
        <v>142.56666666666666</v>
      </c>
      <c r="D445" s="5">
        <f>FossilMiddens!I74</f>
        <v>-30.066666666666666</v>
      </c>
    </row>
    <row r="446" spans="1:4">
      <c r="A446" s="1" t="str">
        <f>FossilMiddens!A75</f>
        <v>RC 2</v>
      </c>
      <c r="B446" s="1" t="s">
        <v>161</v>
      </c>
      <c r="C446" s="5">
        <f>FossilMiddens!H75</f>
        <v>142.56666666666666</v>
      </c>
      <c r="D446" s="5">
        <f>FossilMiddens!I75</f>
        <v>-30.066666666666666</v>
      </c>
    </row>
    <row r="447" spans="1:4">
      <c r="A447" s="1" t="str">
        <f>FossilMiddens!A76</f>
        <v>RC3 base</v>
      </c>
      <c r="B447" s="1" t="s">
        <v>161</v>
      </c>
      <c r="C447" s="5">
        <f>FossilMiddens!H76</f>
        <v>142.56666666666666</v>
      </c>
      <c r="D447" s="5">
        <f>FossilMiddens!I76</f>
        <v>-30.066666666666666</v>
      </c>
    </row>
    <row r="448" spans="1:4">
      <c r="A448" s="1" t="str">
        <f>FossilMiddens!A77</f>
        <v>WF</v>
      </c>
      <c r="B448" s="1" t="s">
        <v>161</v>
      </c>
      <c r="C448" s="5">
        <f>FossilMiddens!H77</f>
        <v>142.56666666666666</v>
      </c>
      <c r="D448" s="5">
        <f>FossilMiddens!I77</f>
        <v>-30.066666666666666</v>
      </c>
    </row>
    <row r="449" spans="1:4">
      <c r="A449" s="1" t="str">
        <f>FossilMiddens!A156</f>
        <v>GH1 (base)</v>
      </c>
      <c r="B449" s="1" t="s">
        <v>161</v>
      </c>
      <c r="C449" s="5">
        <f>FossilMiddens!H156</f>
        <v>142.6</v>
      </c>
      <c r="D449" s="5">
        <f>FossilMiddens!I156</f>
        <v>-31.166666666666668</v>
      </c>
    </row>
    <row r="450" spans="1:4">
      <c r="A450" s="1" t="str">
        <f>FossilMiddens!A155</f>
        <v>GH1 (top)</v>
      </c>
      <c r="B450" s="1" t="s">
        <v>161</v>
      </c>
      <c r="C450" s="5">
        <f>FossilMiddens!H155</f>
        <v>142.6</v>
      </c>
      <c r="D450" s="5">
        <f>FossilMiddens!I155</f>
        <v>-31.166666666666668</v>
      </c>
    </row>
    <row r="451" spans="1:4">
      <c r="A451" s="1" t="str">
        <f>FossilMiddens!A126</f>
        <v>GH2</v>
      </c>
      <c r="B451" s="1" t="s">
        <v>161</v>
      </c>
      <c r="C451" s="5">
        <f>FossilMiddens!H126</f>
        <v>142.6</v>
      </c>
      <c r="D451" s="5">
        <f>FossilMiddens!I126</f>
        <v>-31.166666666666668</v>
      </c>
    </row>
    <row r="452" spans="1:4">
      <c r="A452" s="1" t="str">
        <f>FossilMiddens!A154</f>
        <v>GH4 (base)</v>
      </c>
      <c r="B452" s="1" t="s">
        <v>161</v>
      </c>
      <c r="C452" s="5">
        <f>FossilMiddens!H154</f>
        <v>142.6</v>
      </c>
      <c r="D452" s="5">
        <f>FossilMiddens!I154</f>
        <v>-31.166666666666668</v>
      </c>
    </row>
    <row r="453" spans="1:4">
      <c r="A453" s="1" t="str">
        <f>FossilMiddens!A127</f>
        <v>GH5 (I)</v>
      </c>
      <c r="B453" s="1" t="s">
        <v>161</v>
      </c>
      <c r="C453" s="5">
        <f>FossilMiddens!H127</f>
        <v>142.6</v>
      </c>
      <c r="D453" s="5">
        <f>FossilMiddens!I127</f>
        <v>-31.166666666666668</v>
      </c>
    </row>
    <row r="454" spans="1:4">
      <c r="A454" s="1" t="str">
        <f>FossilMiddens!A153</f>
        <v>GH5 (II)</v>
      </c>
      <c r="B454" s="1" t="s">
        <v>161</v>
      </c>
      <c r="C454" s="5">
        <f>FossilMiddens!H153</f>
        <v>142.6</v>
      </c>
      <c r="D454" s="5">
        <f>FossilMiddens!I153</f>
        <v>-31.166666666666668</v>
      </c>
    </row>
    <row r="455" spans="1:4">
      <c r="A455" s="1" t="str">
        <f>FossilMiddens!A128</f>
        <v>GH8 (front)</v>
      </c>
      <c r="B455" s="1" t="s">
        <v>161</v>
      </c>
      <c r="C455" s="5">
        <f>FossilMiddens!H128</f>
        <v>142.6</v>
      </c>
      <c r="D455" s="5">
        <f>FossilMiddens!I128</f>
        <v>-31.166666666666668</v>
      </c>
    </row>
    <row r="456" spans="1:4">
      <c r="A456" s="1" t="str">
        <f>FossilMiddens!A130</f>
        <v>Green et al (1983)</v>
      </c>
      <c r="B456" s="1" t="s">
        <v>161</v>
      </c>
      <c r="C456" s="5">
        <f>FossilMiddens!H130</f>
        <v>142.6</v>
      </c>
      <c r="D456" s="5">
        <f>FossilMiddens!I130</f>
        <v>-31.166666666666668</v>
      </c>
    </row>
    <row r="457" spans="1:4">
      <c r="A457" s="1" t="str">
        <f>FossilMiddens!A129</f>
        <v>RC3 top</v>
      </c>
      <c r="B457" s="1" t="s">
        <v>161</v>
      </c>
      <c r="C457" s="5">
        <f>FossilMiddens!H129</f>
        <v>142.6</v>
      </c>
      <c r="D457" s="5">
        <f>FossilMiddens!I129</f>
        <v>-31.166666666666668</v>
      </c>
    </row>
    <row r="458" spans="1:4">
      <c r="A458" s="1" t="str">
        <f>FossilMiddens!A97</f>
        <v>C7</v>
      </c>
      <c r="B458" s="1" t="s">
        <v>161</v>
      </c>
      <c r="C458" s="5">
        <f>FossilMiddens!H97</f>
        <v>142.6</v>
      </c>
      <c r="D458" s="5">
        <f>FossilMiddens!I97</f>
        <v>-30.866666666666667</v>
      </c>
    </row>
    <row r="459" spans="1:4">
      <c r="A459" s="1" t="str">
        <f>FossilMiddens!A98</f>
        <v>C8 (front left)</v>
      </c>
      <c r="B459" s="1" t="s">
        <v>161</v>
      </c>
      <c r="C459" s="5">
        <f>FossilMiddens!H98</f>
        <v>142.6</v>
      </c>
      <c r="D459" s="5">
        <f>FossilMiddens!I98</f>
        <v>-30.866666666666667</v>
      </c>
    </row>
    <row r="460" spans="1:4">
      <c r="A460" s="1">
        <v>12578</v>
      </c>
      <c r="B460" s="1" t="s">
        <v>161</v>
      </c>
      <c r="C460" s="5">
        <v>142.69999899999999</v>
      </c>
      <c r="D460" s="5">
        <v>-31.116669999999999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4D30-D7AA-4902-AD79-25025212AA37}">
  <sheetPr codeName="Sheet1"/>
  <dimension ref="A2:B19"/>
  <sheetViews>
    <sheetView workbookViewId="0">
      <selection sqref="A1:IV65536"/>
    </sheetView>
  </sheetViews>
  <sheetFormatPr defaultRowHeight="17.25" customHeight="1"/>
  <cols>
    <col min="1" max="1" width="146.28515625" customWidth="1"/>
  </cols>
  <sheetData>
    <row r="2" spans="1:1" ht="17.25" customHeight="1">
      <c r="A2" s="46" t="s">
        <v>784</v>
      </c>
    </row>
    <row r="4" spans="1:1" ht="17.25" customHeight="1">
      <c r="A4" s="48" t="s">
        <v>785</v>
      </c>
    </row>
    <row r="6" spans="1:1" ht="17.25" customHeight="1">
      <c r="A6" s="47" t="s">
        <v>786</v>
      </c>
    </row>
    <row r="7" spans="1:1" ht="17.25" customHeight="1">
      <c r="A7" s="50"/>
    </row>
    <row r="8" spans="1:1" ht="17.25" customHeight="1">
      <c r="A8" s="51" t="s">
        <v>787</v>
      </c>
    </row>
    <row r="9" spans="1:1" ht="17.25" customHeight="1">
      <c r="A9" s="52" t="s">
        <v>788</v>
      </c>
    </row>
    <row r="10" spans="1:1" ht="17.25" customHeight="1">
      <c r="A10" s="53"/>
    </row>
    <row r="11" spans="1:1" ht="17.25" customHeight="1">
      <c r="A11" s="51" t="s">
        <v>789</v>
      </c>
    </row>
    <row r="12" spans="1:1" ht="17.25" customHeight="1">
      <c r="A12" s="51" t="s">
        <v>790</v>
      </c>
    </row>
    <row r="14" spans="1:1" ht="17.25" customHeight="1">
      <c r="A14" s="47" t="s">
        <v>791</v>
      </c>
    </row>
    <row r="15" spans="1:1" ht="17.25" customHeight="1">
      <c r="A15" s="54" t="s">
        <v>792</v>
      </c>
    </row>
    <row r="17" spans="1:2" ht="17.25" customHeight="1">
      <c r="A17" s="55" t="s">
        <v>793</v>
      </c>
      <c r="B17" s="49"/>
    </row>
    <row r="18" spans="1:2" ht="17.25" customHeight="1">
      <c r="A18" s="55" t="s">
        <v>794</v>
      </c>
      <c r="B18" s="49"/>
    </row>
    <row r="19" spans="1:2" ht="17.25" customHeight="1">
      <c r="A19" s="55" t="s">
        <v>795</v>
      </c>
      <c r="B19" s="55" t="s">
        <v>796</v>
      </c>
    </row>
  </sheetData>
  <hyperlinks>
    <hyperlink ref="A4" r:id="rId1" display="http://office.microsoft.com/en-au/excel-help/save-a-workbook-in-another-file-format-HA102840050.aspx?CTT=1" xr:uid="{6663F387-C157-47F8-AB90-144E8DE7B89C}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1025" r:id="rId6" name="Control 1">
          <controlPr defaultSize="0" r:id="rId7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4</xdr:col>
                <xdr:colOff>200025</xdr:colOff>
                <xdr:row>20</xdr:row>
                <xdr:rowOff>190500</xdr:rowOff>
              </to>
            </anchor>
          </controlPr>
        </control>
      </mc:Choice>
      <mc:Fallback>
        <control shapeId="1025" r:id="rId6" name="Control 1"/>
      </mc:Fallback>
    </mc:AlternateContent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4</xdr:col>
                <xdr:colOff>276225</xdr:colOff>
                <xdr:row>19</xdr:row>
                <xdr:rowOff>9525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D4D8-25AF-4171-8B1B-67084A08AC06}">
  <dimension ref="A1:G460"/>
  <sheetViews>
    <sheetView tabSelected="1" workbookViewId="0">
      <selection activeCell="C1" sqref="C1:E65536"/>
    </sheetView>
  </sheetViews>
  <sheetFormatPr defaultColWidth="28.140625" defaultRowHeight="12.75"/>
  <cols>
    <col min="1" max="2" width="28.140625" style="1" customWidth="1"/>
    <col min="3" max="3" width="46" style="1" customWidth="1"/>
    <col min="4" max="5" width="28.140625" style="5" customWidth="1"/>
  </cols>
  <sheetData>
    <row r="1" spans="1:6">
      <c r="A1" s="1" t="s">
        <v>0</v>
      </c>
      <c r="B1" s="1" t="s">
        <v>235</v>
      </c>
      <c r="D1" s="5" t="s">
        <v>236</v>
      </c>
      <c r="E1" s="5" t="s">
        <v>723</v>
      </c>
      <c r="F1" t="s">
        <v>724</v>
      </c>
    </row>
    <row r="2" spans="1:6">
      <c r="A2" t="s">
        <v>165</v>
      </c>
      <c r="B2" t="s">
        <v>237</v>
      </c>
      <c r="C2" t="str">
        <f>A2&amp;" "&amp;B2&amp;" "&amp;F2&amp;" "&amp;G2</f>
        <v xml:space="preserve">Baynes2002 Leporillus apicalis False Entrance Well </v>
      </c>
      <c r="D2">
        <v>113.3</v>
      </c>
      <c r="E2" s="5">
        <v>-26.4</v>
      </c>
      <c r="F2" t="s">
        <v>725</v>
      </c>
    </row>
    <row r="3" spans="1:6">
      <c r="A3" t="s">
        <v>165</v>
      </c>
      <c r="B3" t="s">
        <v>237</v>
      </c>
      <c r="C3" t="str">
        <f t="shared" ref="C3:C66" si="0">A3&amp;" "&amp;B3&amp;" "&amp;F3&amp;" "&amp;G3</f>
        <v xml:space="preserve">Baynes2002 Leporillus apicalis Coastal cliffs </v>
      </c>
      <c r="D3">
        <v>113.43300000000001</v>
      </c>
      <c r="E3" s="5">
        <v>-24.117000000000001</v>
      </c>
      <c r="F3" t="s">
        <v>726</v>
      </c>
    </row>
    <row r="4" spans="1:6">
      <c r="A4" t="s">
        <v>165</v>
      </c>
      <c r="B4" t="s">
        <v>237</v>
      </c>
      <c r="C4" t="str">
        <f t="shared" si="0"/>
        <v xml:space="preserve">Baynes2002 Leporillus apicalis Guichenault Point </v>
      </c>
      <c r="D4">
        <v>113.583</v>
      </c>
      <c r="E4" s="5">
        <v>-25.632999999999999</v>
      </c>
      <c r="F4" t="s">
        <v>727</v>
      </c>
    </row>
    <row r="5" spans="1:6">
      <c r="A5" t="s">
        <v>165</v>
      </c>
      <c r="B5" t="s">
        <v>237</v>
      </c>
      <c r="C5" t="str">
        <f t="shared" si="0"/>
        <v xml:space="preserve">Baynes2002 Leporillus apicalis Baba Head </v>
      </c>
      <c r="D5">
        <v>113.68300000000001</v>
      </c>
      <c r="E5" s="5">
        <v>-26.6</v>
      </c>
      <c r="F5" t="s">
        <v>728</v>
      </c>
    </row>
    <row r="6" spans="1:6">
      <c r="A6" t="s">
        <v>165</v>
      </c>
      <c r="B6" t="s">
        <v>237</v>
      </c>
      <c r="C6" t="str">
        <f t="shared" si="0"/>
        <v xml:space="preserve">Baynes2002 Leporillus apicalis Limestone ridge SE of Cardabia Hstd </v>
      </c>
      <c r="D6">
        <v>113.8</v>
      </c>
      <c r="E6" s="5">
        <v>-23.117000000000001</v>
      </c>
      <c r="F6" t="s">
        <v>729</v>
      </c>
    </row>
    <row r="7" spans="1:6">
      <c r="A7" t="s">
        <v>165</v>
      </c>
      <c r="B7" t="s">
        <v>237</v>
      </c>
      <c r="C7" t="str">
        <f t="shared" si="0"/>
        <v xml:space="preserve">Baynes2002 Leporillus apicalis Cave C-207 Cape Range </v>
      </c>
      <c r="D7">
        <v>113.983</v>
      </c>
      <c r="E7" s="5">
        <v>-22.2</v>
      </c>
      <c r="F7" t="s">
        <v>730</v>
      </c>
    </row>
    <row r="8" spans="1:6">
      <c r="A8" t="s">
        <v>165</v>
      </c>
      <c r="B8" t="s">
        <v>237</v>
      </c>
      <c r="C8" t="str">
        <f t="shared" si="0"/>
        <v xml:space="preserve">Baynes2002 Leporillus apicalis Cave C-4 Cape Range </v>
      </c>
      <c r="D8">
        <v>113.983</v>
      </c>
      <c r="E8" s="5">
        <v>-22.183</v>
      </c>
      <c r="F8" t="s">
        <v>731</v>
      </c>
    </row>
    <row r="9" spans="1:6">
      <c r="A9" t="s">
        <v>165</v>
      </c>
      <c r="B9" t="s">
        <v>237</v>
      </c>
      <c r="C9" t="str">
        <f t="shared" si="0"/>
        <v xml:space="preserve">Baynes2002 Leporillus apicalis Cave C-200 Cape Range </v>
      </c>
      <c r="D9">
        <v>114</v>
      </c>
      <c r="E9" s="5">
        <v>-22.216999999999999</v>
      </c>
      <c r="F9" t="s">
        <v>732</v>
      </c>
    </row>
    <row r="10" spans="1:6">
      <c r="A10" t="s">
        <v>165</v>
      </c>
      <c r="B10" t="s">
        <v>237</v>
      </c>
      <c r="C10" t="str">
        <f t="shared" si="0"/>
        <v xml:space="preserve">Baynes2002 Leporillus apicalis Cave C-299 Cape Range </v>
      </c>
      <c r="D10">
        <v>114</v>
      </c>
      <c r="E10" s="5">
        <v>-22.132999999999999</v>
      </c>
      <c r="F10" t="s">
        <v>733</v>
      </c>
    </row>
    <row r="11" spans="1:6">
      <c r="A11" t="s">
        <v>165</v>
      </c>
      <c r="B11" t="s">
        <v>237</v>
      </c>
      <c r="C11" t="str">
        <f t="shared" si="0"/>
        <v xml:space="preserve">Baynes2002 Leporillus apicalis Cave C-251 Cape Range </v>
      </c>
      <c r="D11">
        <v>114.033</v>
      </c>
      <c r="E11" s="5">
        <v>-22.016999999999999</v>
      </c>
      <c r="F11" t="s">
        <v>734</v>
      </c>
    </row>
    <row r="12" spans="1:6">
      <c r="A12" t="s">
        <v>165</v>
      </c>
      <c r="B12" t="s">
        <v>237</v>
      </c>
      <c r="C12" t="str">
        <f t="shared" si="0"/>
        <v xml:space="preserve">Baynes2002 Leporillus apicalis Bluffs near Yaringa Homestead </v>
      </c>
      <c r="D12">
        <v>114.283</v>
      </c>
      <c r="E12" s="5">
        <v>-25.983000000000001</v>
      </c>
      <c r="F12" t="s">
        <v>735</v>
      </c>
    </row>
    <row r="13" spans="1:6">
      <c r="A13" t="s">
        <v>165</v>
      </c>
      <c r="B13" t="s">
        <v>237</v>
      </c>
      <c r="C13" t="str">
        <f t="shared" si="0"/>
        <v xml:space="preserve">Baynes2002 Leporillus apicalis Breakaway on Winderie Station </v>
      </c>
      <c r="D13">
        <v>115.15</v>
      </c>
      <c r="E13" s="5">
        <v>-25.35</v>
      </c>
      <c r="F13" t="s">
        <v>736</v>
      </c>
    </row>
    <row r="14" spans="1:6">
      <c r="A14" t="s">
        <v>165</v>
      </c>
      <c r="B14" t="s">
        <v>237</v>
      </c>
      <c r="C14" t="str">
        <f t="shared" si="0"/>
        <v xml:space="preserve">Baynes2002 Leporillus apicalis Mesa near Table Top Well </v>
      </c>
      <c r="D14">
        <v>115.35</v>
      </c>
      <c r="E14" s="5">
        <v>-24.75</v>
      </c>
      <c r="F14" t="s">
        <v>737</v>
      </c>
    </row>
    <row r="15" spans="1:6">
      <c r="A15" t="s">
        <v>165</v>
      </c>
      <c r="B15" t="s">
        <v>237</v>
      </c>
      <c r="C15" t="str">
        <f t="shared" si="0"/>
        <v xml:space="preserve">Baynes2002 Leporillus apicalis Rockshelter on Merkanooka Stn </v>
      </c>
      <c r="D15">
        <v>115.583</v>
      </c>
      <c r="E15" s="5">
        <v>-29.082999999999998</v>
      </c>
      <c r="F15" t="s">
        <v>738</v>
      </c>
    </row>
    <row r="16" spans="1:6">
      <c r="A16" t="s">
        <v>165</v>
      </c>
      <c r="B16" t="s">
        <v>237</v>
      </c>
      <c r="C16" t="str">
        <f t="shared" si="0"/>
        <v xml:space="preserve">Baynes2002 Leporillus apicalis Tallering Hill </v>
      </c>
      <c r="D16">
        <v>115.617</v>
      </c>
      <c r="E16" s="5">
        <v>-28.117000000000001</v>
      </c>
      <c r="F16" t="s">
        <v>739</v>
      </c>
    </row>
    <row r="17" spans="1:6">
      <c r="A17" t="s">
        <v>165</v>
      </c>
      <c r="B17" t="s">
        <v>237</v>
      </c>
      <c r="C17" t="str">
        <f t="shared" si="0"/>
        <v xml:space="preserve">Baynes2002 Leporillus apicalis Breakaways on Murgoo Stn </v>
      </c>
      <c r="D17">
        <v>116.283</v>
      </c>
      <c r="E17" s="5">
        <v>-27.466999999999999</v>
      </c>
      <c r="F17" t="s">
        <v>740</v>
      </c>
    </row>
    <row r="18" spans="1:6">
      <c r="A18" t="s">
        <v>165</v>
      </c>
      <c r="B18" t="s">
        <v>237</v>
      </c>
      <c r="C18" t="str">
        <f t="shared" si="0"/>
        <v xml:space="preserve">Baynes2002 Leporillus apicalis Karara Stn </v>
      </c>
      <c r="D18">
        <v>116.767</v>
      </c>
      <c r="E18" s="5">
        <v>-29.2</v>
      </c>
      <c r="F18" t="s">
        <v>741</v>
      </c>
    </row>
    <row r="19" spans="1:6">
      <c r="A19" t="s">
        <v>165</v>
      </c>
      <c r="B19" t="s">
        <v>237</v>
      </c>
      <c r="C19" t="str">
        <f t="shared" si="0"/>
        <v xml:space="preserve">Baynes2002 Leporillus apicalis Small breakaway SE of Mt Elephant </v>
      </c>
      <c r="D19">
        <v>117.15</v>
      </c>
      <c r="E19" s="5">
        <v>-23.567</v>
      </c>
      <c r="F19" t="s">
        <v>742</v>
      </c>
    </row>
    <row r="20" spans="1:6">
      <c r="A20" t="s">
        <v>165</v>
      </c>
      <c r="B20" t="s">
        <v>237</v>
      </c>
      <c r="C20" t="str">
        <f t="shared" si="0"/>
        <v xml:space="preserve">Baynes2002 Leporillus apicalis Narring Range </v>
      </c>
      <c r="D20">
        <v>117.18300000000001</v>
      </c>
      <c r="E20" s="5">
        <v>-28.132999999999999</v>
      </c>
      <c r="F20" t="s">
        <v>743</v>
      </c>
    </row>
    <row r="21" spans="1:6">
      <c r="A21" t="s">
        <v>165</v>
      </c>
      <c r="B21" t="s">
        <v>237</v>
      </c>
      <c r="C21" t="str">
        <f t="shared" si="0"/>
        <v xml:space="preserve">Baynes2002 Leporillus apicalis Beanthiny Hill </v>
      </c>
      <c r="D21">
        <v>117.25</v>
      </c>
      <c r="E21" s="5">
        <v>-29.567</v>
      </c>
      <c r="F21" t="s">
        <v>744</v>
      </c>
    </row>
    <row r="22" spans="1:6">
      <c r="A22" t="s">
        <v>165</v>
      </c>
      <c r="B22" t="s">
        <v>237</v>
      </c>
      <c r="C22" t="str">
        <f t="shared" si="0"/>
        <v xml:space="preserve">Baynes2002 Leporillus apicalis Wilgie Mia </v>
      </c>
      <c r="D22">
        <v>117.7</v>
      </c>
      <c r="E22" s="5">
        <v>-26.917000000000002</v>
      </c>
      <c r="F22" t="s">
        <v>745</v>
      </c>
    </row>
    <row r="23" spans="1:6">
      <c r="A23" t="s">
        <v>165</v>
      </c>
      <c r="B23" t="s">
        <v>237</v>
      </c>
      <c r="C23" t="str">
        <f t="shared" si="0"/>
        <v xml:space="preserve">Baynes2002 Leporillus apicalis Sawback Range </v>
      </c>
      <c r="D23">
        <v>117.75</v>
      </c>
      <c r="E23" s="5">
        <v>-25.067</v>
      </c>
      <c r="F23" t="s">
        <v>746</v>
      </c>
    </row>
    <row r="24" spans="1:6">
      <c r="A24" t="s">
        <v>165</v>
      </c>
      <c r="B24" t="s">
        <v>237</v>
      </c>
      <c r="C24" t="str">
        <f t="shared" si="0"/>
        <v xml:space="preserve">Baynes2002 Leporillus apicalis Breakaway ENE of Kirkalocka Hstd </v>
      </c>
      <c r="D24">
        <v>117.81699999999999</v>
      </c>
      <c r="E24" s="5">
        <v>-28.55</v>
      </c>
      <c r="F24" t="s">
        <v>747</v>
      </c>
    </row>
    <row r="25" spans="1:6">
      <c r="A25" t="s">
        <v>165</v>
      </c>
      <c r="B25" t="s">
        <v>237</v>
      </c>
      <c r="C25" t="str">
        <f t="shared" si="0"/>
        <v xml:space="preserve">Baynes2002 Leporillus apicalis Limestone gorge </v>
      </c>
      <c r="D25">
        <v>117.917</v>
      </c>
      <c r="E25" s="5">
        <v>-24.05</v>
      </c>
      <c r="F25" t="s">
        <v>748</v>
      </c>
    </row>
    <row r="26" spans="1:6">
      <c r="A26" t="s">
        <v>165</v>
      </c>
      <c r="B26" t="s">
        <v>237</v>
      </c>
      <c r="C26" t="str">
        <f t="shared" si="0"/>
        <v xml:space="preserve">Baynes2002 Leporillus apicalis Breakaway on Diemals Station </v>
      </c>
      <c r="D26">
        <v>119.367</v>
      </c>
      <c r="E26" s="5">
        <v>-29.367000000000001</v>
      </c>
      <c r="F26" t="s">
        <v>749</v>
      </c>
    </row>
    <row r="27" spans="1:6">
      <c r="A27" t="s">
        <v>165</v>
      </c>
      <c r="B27" t="s">
        <v>237</v>
      </c>
      <c r="C27" t="str">
        <f t="shared" si="0"/>
        <v xml:space="preserve">Baynes2002 Leporillus apicalis 10.7 km W of Bulloo Downs Hstd </v>
      </c>
      <c r="D27">
        <v>119.43300000000001</v>
      </c>
      <c r="E27" s="5">
        <v>-23.966999999999999</v>
      </c>
      <c r="F27" t="s">
        <v>750</v>
      </c>
    </row>
    <row r="28" spans="1:6">
      <c r="A28" t="s">
        <v>165</v>
      </c>
      <c r="B28" t="s">
        <v>237</v>
      </c>
      <c r="C28" t="str">
        <f t="shared" si="0"/>
        <v xml:space="preserve">Baynes2002 Leporillus apicalis Breakaway 20 miles NW Yeelirrie Hstd </v>
      </c>
      <c r="D28">
        <v>119.93300000000001</v>
      </c>
      <c r="E28" s="5">
        <v>-27.05</v>
      </c>
      <c r="F28" t="s">
        <v>751</v>
      </c>
    </row>
    <row r="29" spans="1:6">
      <c r="A29" t="s">
        <v>165</v>
      </c>
      <c r="B29" t="s">
        <v>237</v>
      </c>
      <c r="C29" t="str">
        <f t="shared" si="0"/>
        <v xml:space="preserve">Baynes2002 Leporillus apicalis White Cloud Cliffs </v>
      </c>
      <c r="D29">
        <v>120.3</v>
      </c>
      <c r="E29" s="5">
        <v>-28.117000000000001</v>
      </c>
      <c r="F29" t="s">
        <v>752</v>
      </c>
    </row>
    <row r="30" spans="1:6">
      <c r="A30" t="s">
        <v>165</v>
      </c>
      <c r="B30" t="s">
        <v>237</v>
      </c>
      <c r="C30" t="str">
        <f t="shared" si="0"/>
        <v xml:space="preserve">Baynes2002 Leporillus apicalis Breakaways NW of Callion </v>
      </c>
      <c r="D30">
        <v>120.533</v>
      </c>
      <c r="E30" s="5">
        <v>-30.082999999999998</v>
      </c>
      <c r="F30" t="s">
        <v>753</v>
      </c>
    </row>
    <row r="31" spans="1:6">
      <c r="A31" t="s">
        <v>165</v>
      </c>
      <c r="B31" t="s">
        <v>237</v>
      </c>
      <c r="C31" t="str">
        <f t="shared" si="0"/>
        <v xml:space="preserve">Baynes2002 Leporillus apicalis Millrose Station </v>
      </c>
      <c r="D31">
        <v>121.05</v>
      </c>
      <c r="E31" s="5">
        <v>-26.417000000000002</v>
      </c>
      <c r="F31" t="s">
        <v>754</v>
      </c>
    </row>
    <row r="32" spans="1:6">
      <c r="A32" t="s">
        <v>165</v>
      </c>
      <c r="B32" t="s">
        <v>237</v>
      </c>
      <c r="C32" t="str">
        <f t="shared" si="0"/>
        <v xml:space="preserve">Baynes2002 Leporillus apicalis Old tree on Yerilla Station </v>
      </c>
      <c r="D32">
        <v>121.633</v>
      </c>
      <c r="E32" s="5">
        <v>-29.516999999999999</v>
      </c>
      <c r="F32" t="s">
        <v>755</v>
      </c>
    </row>
    <row r="33" spans="1:6">
      <c r="A33" t="s">
        <v>165</v>
      </c>
      <c r="B33" t="s">
        <v>237</v>
      </c>
      <c r="C33" t="str">
        <f t="shared" si="0"/>
        <v xml:space="preserve">Baynes2002 Leporillus apicalis Pinjin Station </v>
      </c>
      <c r="D33">
        <v>122.81699999999999</v>
      </c>
      <c r="E33" s="5">
        <v>-30.082999999999998</v>
      </c>
      <c r="F33" t="s">
        <v>756</v>
      </c>
    </row>
    <row r="34" spans="1:6">
      <c r="A34" t="s">
        <v>165</v>
      </c>
      <c r="B34" t="s">
        <v>237</v>
      </c>
      <c r="C34" t="str">
        <f t="shared" si="0"/>
        <v xml:space="preserve">Baynes2002 Leporillus apicalis Mt Johnson </v>
      </c>
      <c r="D34">
        <v>124.43300000000001</v>
      </c>
      <c r="E34" s="5">
        <v>-25.433</v>
      </c>
      <c r="F34" t="s">
        <v>757</v>
      </c>
    </row>
    <row r="35" spans="1:6">
      <c r="A35" t="s">
        <v>165</v>
      </c>
      <c r="B35" t="s">
        <v>237</v>
      </c>
      <c r="C35" t="str">
        <f t="shared" si="0"/>
        <v xml:space="preserve">Baynes2002 Leporillus apicalis Young Range </v>
      </c>
      <c r="D35">
        <v>124.983</v>
      </c>
      <c r="E35" s="5">
        <v>-25.033000000000001</v>
      </c>
      <c r="F35" t="s">
        <v>758</v>
      </c>
    </row>
    <row r="36" spans="1:6">
      <c r="A36" s="9">
        <v>13235</v>
      </c>
      <c r="B36" s="10" t="s">
        <v>237</v>
      </c>
      <c r="C36" t="str">
        <f t="shared" si="0"/>
        <v xml:space="preserve">13235 Leporillus apicalis  </v>
      </c>
      <c r="D36" s="2">
        <v>125.86666517263507</v>
      </c>
      <c r="E36" s="2">
        <v>-26.60000359388658</v>
      </c>
    </row>
    <row r="37" spans="1:6">
      <c r="A37" t="s">
        <v>165</v>
      </c>
      <c r="B37" t="s">
        <v>237</v>
      </c>
      <c r="C37" t="str">
        <f t="shared" si="0"/>
        <v xml:space="preserve">Baynes2002 Leporillus apicalis Breakaways near Gahnda Rockhole </v>
      </c>
      <c r="D37">
        <v>125.867</v>
      </c>
      <c r="E37" s="5">
        <v>-26.6</v>
      </c>
      <c r="F37" t="s">
        <v>759</v>
      </c>
    </row>
    <row r="38" spans="1:6">
      <c r="A38" s="9">
        <v>12678</v>
      </c>
      <c r="B38" s="10" t="s">
        <v>237</v>
      </c>
      <c r="C38" t="str">
        <f t="shared" si="0"/>
        <v xml:space="preserve">12678 Leporillus apicalis  </v>
      </c>
      <c r="D38" s="2">
        <v>125.88332589087337</v>
      </c>
      <c r="E38" s="2">
        <v>-32.216670195722415</v>
      </c>
    </row>
    <row r="39" spans="1:6">
      <c r="A39" s="9">
        <v>12738</v>
      </c>
      <c r="B39" s="10" t="s">
        <v>237</v>
      </c>
      <c r="C39" t="str">
        <f t="shared" si="0"/>
        <v xml:space="preserve">12738 Leporillus apicalis  </v>
      </c>
      <c r="D39" s="2">
        <v>125.91666592057311</v>
      </c>
      <c r="E39" s="2">
        <v>-31.966669920192786</v>
      </c>
    </row>
    <row r="40" spans="1:6">
      <c r="A40" t="s">
        <v>165</v>
      </c>
      <c r="B40" t="s">
        <v>237</v>
      </c>
      <c r="C40" t="str">
        <f t="shared" si="0"/>
        <v xml:space="preserve">Baynes2002 Leporillus apicalis Mount Samuel </v>
      </c>
      <c r="D40">
        <v>125.93300000000001</v>
      </c>
      <c r="E40" s="5">
        <v>-25.766999999999999</v>
      </c>
      <c r="F40" t="s">
        <v>760</v>
      </c>
    </row>
    <row r="41" spans="1:6">
      <c r="A41" s="9">
        <v>13233</v>
      </c>
      <c r="B41" s="10" t="s">
        <v>237</v>
      </c>
      <c r="C41" t="str">
        <f t="shared" si="0"/>
        <v xml:space="preserve">13233 Leporillus apicalis  </v>
      </c>
      <c r="D41" s="2">
        <v>125.93333106124335</v>
      </c>
      <c r="E41" s="2">
        <v>-25.766668375519782</v>
      </c>
    </row>
    <row r="42" spans="1:6">
      <c r="A42" t="s">
        <v>165</v>
      </c>
      <c r="B42" t="s">
        <v>237</v>
      </c>
      <c r="C42" t="str">
        <f t="shared" si="0"/>
        <v xml:space="preserve">Baynes2002 Leporillus apicalis Breakaways near Winduldurra Rockhole </v>
      </c>
      <c r="D42">
        <v>126.033</v>
      </c>
      <c r="E42" s="5">
        <v>-26.516999999999999</v>
      </c>
      <c r="F42" t="s">
        <v>761</v>
      </c>
    </row>
    <row r="43" spans="1:6">
      <c r="A43" s="8">
        <v>13234</v>
      </c>
      <c r="B43" s="10" t="s">
        <v>237</v>
      </c>
      <c r="C43" t="str">
        <f t="shared" si="0"/>
        <v xml:space="preserve">13234 Leporillus apicalis  </v>
      </c>
      <c r="D43" s="2">
        <v>126.03332701761936</v>
      </c>
      <c r="E43" s="2">
        <v>-26.516675087613809</v>
      </c>
    </row>
    <row r="44" spans="1:6">
      <c r="A44" s="8">
        <v>12788</v>
      </c>
      <c r="B44" s="10" t="s">
        <v>237</v>
      </c>
      <c r="C44" t="str">
        <f t="shared" si="0"/>
        <v xml:space="preserve">12788 Leporillus apicalis  </v>
      </c>
      <c r="D44" s="2">
        <v>126.03332736910907</v>
      </c>
      <c r="E44" s="2">
        <v>-32.050003190943805</v>
      </c>
    </row>
    <row r="45" spans="1:6">
      <c r="A45" s="8">
        <v>12713</v>
      </c>
      <c r="B45" s="10" t="s">
        <v>237</v>
      </c>
      <c r="C45" t="str">
        <f t="shared" si="0"/>
        <v xml:space="preserve">12713 Leporillus apicalis  </v>
      </c>
      <c r="D45" s="2">
        <v>126.03332882986672</v>
      </c>
      <c r="E45" s="2">
        <v>-32.06667451851645</v>
      </c>
    </row>
    <row r="46" spans="1:6">
      <c r="A46" s="8">
        <v>12715</v>
      </c>
      <c r="B46" s="10" t="s">
        <v>237</v>
      </c>
      <c r="C46" t="str">
        <f t="shared" si="0"/>
        <v xml:space="preserve">12715 Leporillus apicalis  </v>
      </c>
      <c r="D46" s="2">
        <v>126.18333304260975</v>
      </c>
      <c r="E46" s="2">
        <v>-32.100000062828983</v>
      </c>
    </row>
    <row r="47" spans="1:6">
      <c r="A47" s="8">
        <v>13236</v>
      </c>
      <c r="B47" s="10" t="s">
        <v>237</v>
      </c>
      <c r="C47" t="str">
        <f t="shared" si="0"/>
        <v xml:space="preserve">13236 Leporillus apicalis  </v>
      </c>
      <c r="D47" s="2">
        <v>126.44999835605805</v>
      </c>
      <c r="E47" s="2">
        <v>-26.700005847136644</v>
      </c>
    </row>
    <row r="48" spans="1:6">
      <c r="A48" t="s">
        <v>165</v>
      </c>
      <c r="B48" t="s">
        <v>237</v>
      </c>
      <c r="C48" t="str">
        <f t="shared" si="0"/>
        <v xml:space="preserve">Baynes2002 Leporillus apicalis Manton Knob </v>
      </c>
      <c r="D48">
        <v>126.45</v>
      </c>
      <c r="E48" s="5">
        <v>-26.7</v>
      </c>
      <c r="F48" t="s">
        <v>762</v>
      </c>
    </row>
    <row r="49" spans="1:6">
      <c r="A49" s="8">
        <v>13237</v>
      </c>
      <c r="B49" s="10" t="s">
        <v>237</v>
      </c>
      <c r="C49" t="str">
        <f t="shared" si="0"/>
        <v xml:space="preserve">13237 Leporillus apicalis  </v>
      </c>
      <c r="D49" s="2">
        <v>126.46666461463113</v>
      </c>
      <c r="E49" s="2">
        <v>-27.200001860053746</v>
      </c>
    </row>
    <row r="50" spans="1:6">
      <c r="A50" t="s">
        <v>165</v>
      </c>
      <c r="B50" t="s">
        <v>237</v>
      </c>
      <c r="C50" t="str">
        <f t="shared" si="0"/>
        <v xml:space="preserve">Baynes2002 Leporillus apicalis Point Wood </v>
      </c>
      <c r="D50">
        <v>126.467</v>
      </c>
      <c r="E50" s="5">
        <v>-27.2</v>
      </c>
      <c r="F50" t="s">
        <v>763</v>
      </c>
    </row>
    <row r="51" spans="1:6">
      <c r="A51" s="8">
        <v>12725</v>
      </c>
      <c r="B51" s="10" t="s">
        <v>237</v>
      </c>
      <c r="C51" t="str">
        <f t="shared" si="0"/>
        <v xml:space="preserve">12725 Leporillus apicalis  </v>
      </c>
      <c r="D51" s="2">
        <v>126.73332634405332</v>
      </c>
      <c r="E51" s="2">
        <v>-31.850007684654891</v>
      </c>
    </row>
    <row r="52" spans="1:6">
      <c r="A52" s="8">
        <v>12723</v>
      </c>
      <c r="B52" s="10" t="s">
        <v>237</v>
      </c>
      <c r="C52" t="str">
        <f t="shared" si="0"/>
        <v xml:space="preserve">12723 Leporillus apicalis  </v>
      </c>
      <c r="D52" s="2">
        <v>127.01666054318713</v>
      </c>
      <c r="E52" s="2">
        <v>-31.583339143492136</v>
      </c>
    </row>
    <row r="53" spans="1:6">
      <c r="A53" s="8">
        <v>12727</v>
      </c>
      <c r="B53" s="10" t="s">
        <v>237</v>
      </c>
      <c r="C53" t="str">
        <f t="shared" si="0"/>
        <v xml:space="preserve">12727 Leporillus apicalis  </v>
      </c>
      <c r="D53" s="2">
        <v>127.03332457729357</v>
      </c>
      <c r="E53" s="2">
        <v>-31.966673172226823</v>
      </c>
    </row>
    <row r="54" spans="1:6">
      <c r="A54" s="8">
        <v>12785</v>
      </c>
      <c r="B54" s="10" t="s">
        <v>237</v>
      </c>
      <c r="C54" t="str">
        <f t="shared" si="0"/>
        <v xml:space="preserve">12785 Leporillus apicalis  </v>
      </c>
      <c r="D54" s="2">
        <v>127.03332876663272</v>
      </c>
      <c r="E54" s="2">
        <v>-31.983341211053684</v>
      </c>
    </row>
    <row r="55" spans="1:6">
      <c r="A55" s="8">
        <v>12747</v>
      </c>
      <c r="B55" s="10" t="s">
        <v>237</v>
      </c>
      <c r="C55" t="str">
        <f t="shared" si="0"/>
        <v xml:space="preserve">12747 Leporillus apicalis  </v>
      </c>
      <c r="D55" s="2">
        <v>127.18333042201293</v>
      </c>
      <c r="E55" s="2">
        <v>-31.433337192970523</v>
      </c>
    </row>
    <row r="56" spans="1:6">
      <c r="A56" s="8">
        <v>12695</v>
      </c>
      <c r="B56" s="10" t="s">
        <v>237</v>
      </c>
      <c r="C56" t="str">
        <f t="shared" si="0"/>
        <v xml:space="preserve">12695 Leporillus apicalis  </v>
      </c>
      <c r="D56" s="2">
        <v>127.43332620260664</v>
      </c>
      <c r="E56" s="2">
        <v>-31.650000943509845</v>
      </c>
    </row>
    <row r="57" spans="1:6">
      <c r="A57" s="8">
        <v>12721</v>
      </c>
      <c r="B57" s="10" t="s">
        <v>237</v>
      </c>
      <c r="C57" t="str">
        <f t="shared" si="0"/>
        <v xml:space="preserve">12721 Leporillus apicalis  </v>
      </c>
      <c r="D57" s="2">
        <v>127.43332620260664</v>
      </c>
      <c r="E57" s="2">
        <v>-31.650000943509845</v>
      </c>
    </row>
    <row r="58" spans="1:6">
      <c r="A58" s="8">
        <v>12718</v>
      </c>
      <c r="B58" s="10" t="s">
        <v>237</v>
      </c>
      <c r="C58" t="str">
        <f t="shared" si="0"/>
        <v xml:space="preserve">12718 Leporillus apicalis  </v>
      </c>
      <c r="D58" s="2">
        <v>127.71666062389029</v>
      </c>
      <c r="E58" s="2">
        <v>-31.83333477294163</v>
      </c>
    </row>
    <row r="59" spans="1:6">
      <c r="A59" s="8">
        <v>12750</v>
      </c>
      <c r="B59" s="10" t="s">
        <v>237</v>
      </c>
      <c r="C59" t="str">
        <f t="shared" si="0"/>
        <v xml:space="preserve">12750 Leporillus apicalis  </v>
      </c>
      <c r="D59" s="2">
        <v>127.71666116878031</v>
      </c>
      <c r="E59" s="2">
        <v>-31.683340805906472</v>
      </c>
    </row>
    <row r="60" spans="1:6">
      <c r="A60" s="8">
        <v>12768</v>
      </c>
      <c r="B60" s="10" t="s">
        <v>237</v>
      </c>
      <c r="C60" t="str">
        <f t="shared" si="0"/>
        <v xml:space="preserve">12768 Leporillus apicalis  </v>
      </c>
      <c r="D60" s="2">
        <v>127.79999437308508</v>
      </c>
      <c r="E60" s="2">
        <v>-31.775005300990752</v>
      </c>
    </row>
    <row r="61" spans="1:6">
      <c r="A61" s="8">
        <v>12716</v>
      </c>
      <c r="B61" s="10" t="s">
        <v>237</v>
      </c>
      <c r="C61" t="str">
        <f t="shared" si="0"/>
        <v xml:space="preserve">12716 Leporillus apicalis  </v>
      </c>
      <c r="D61" s="2">
        <v>127.79999638903517</v>
      </c>
      <c r="E61" s="2">
        <v>-31.766669713229184</v>
      </c>
    </row>
    <row r="62" spans="1:6">
      <c r="A62" s="8">
        <v>12781</v>
      </c>
      <c r="B62" s="10" t="s">
        <v>237</v>
      </c>
      <c r="C62" t="str">
        <f t="shared" si="0"/>
        <v xml:space="preserve">12781 Leporillus apicalis  </v>
      </c>
      <c r="D62" s="2">
        <v>127.79999638903517</v>
      </c>
      <c r="E62" s="2">
        <v>-31.766669713229184</v>
      </c>
    </row>
    <row r="63" spans="1:6">
      <c r="A63" s="8">
        <v>12743</v>
      </c>
      <c r="B63" s="10" t="s">
        <v>237</v>
      </c>
      <c r="C63" t="str">
        <f t="shared" si="0"/>
        <v xml:space="preserve">12743 Leporillus apicalis  </v>
      </c>
      <c r="D63" s="2">
        <v>128.48332416590603</v>
      </c>
      <c r="E63" s="2">
        <v>-31.666673342579919</v>
      </c>
    </row>
    <row r="64" spans="1:6">
      <c r="A64" s="8">
        <v>12755</v>
      </c>
      <c r="B64" s="10" t="s">
        <v>237</v>
      </c>
      <c r="C64" t="str">
        <f t="shared" si="0"/>
        <v xml:space="preserve">12755 Leporillus apicalis  </v>
      </c>
      <c r="D64" s="2">
        <v>128.48332947992145</v>
      </c>
      <c r="E64" s="2">
        <v>-31.700000876470028</v>
      </c>
    </row>
    <row r="65" spans="1:7">
      <c r="A65" s="8">
        <v>12753</v>
      </c>
      <c r="B65" s="10" t="s">
        <v>237</v>
      </c>
      <c r="C65" t="str">
        <f t="shared" si="0"/>
        <v xml:space="preserve">12753 Leporillus apicalis  </v>
      </c>
      <c r="D65" s="2">
        <v>128.48333202306591</v>
      </c>
      <c r="E65" s="2">
        <v>-31.716673600125294</v>
      </c>
    </row>
    <row r="66" spans="1:7">
      <c r="A66" s="8">
        <v>12783</v>
      </c>
      <c r="B66" s="10" t="s">
        <v>237</v>
      </c>
      <c r="C66" t="str">
        <f t="shared" si="0"/>
        <v xml:space="preserve">12783 Leporillus apicalis  </v>
      </c>
      <c r="D66" s="2">
        <v>128.48333204168273</v>
      </c>
      <c r="E66" s="2">
        <v>-31.650000531334182</v>
      </c>
    </row>
    <row r="67" spans="1:7">
      <c r="A67" s="8">
        <v>12762</v>
      </c>
      <c r="B67" s="10" t="s">
        <v>237</v>
      </c>
      <c r="C67" t="str">
        <f t="shared" ref="C67:C130" si="1">A67&amp;" "&amp;B67&amp;" "&amp;F67&amp;" "&amp;G67</f>
        <v xml:space="preserve">12762 Leporillus apicalis  </v>
      </c>
      <c r="D67" s="2">
        <v>128.74998967975071</v>
      </c>
      <c r="E67" s="2">
        <v>-31.066674992483581</v>
      </c>
    </row>
    <row r="68" spans="1:7">
      <c r="A68" s="8">
        <v>12759</v>
      </c>
      <c r="B68" s="10" t="s">
        <v>237</v>
      </c>
      <c r="C68" t="str">
        <f t="shared" si="1"/>
        <v xml:space="preserve">12759 Leporillus apicalis  </v>
      </c>
      <c r="D68" s="2">
        <v>129.03333021296604</v>
      </c>
      <c r="E68" s="2">
        <v>-31.683341528055401</v>
      </c>
    </row>
    <row r="69" spans="1:7">
      <c r="A69" s="8">
        <v>12757</v>
      </c>
      <c r="B69" s="10" t="s">
        <v>237</v>
      </c>
      <c r="C69" t="str">
        <f t="shared" si="1"/>
        <v xml:space="preserve">12757 Leporillus apicalis  </v>
      </c>
      <c r="D69" s="2">
        <v>129.09999897198571</v>
      </c>
      <c r="E69" s="2">
        <v>-31.533337490179314</v>
      </c>
    </row>
    <row r="70" spans="1:7">
      <c r="A70" s="8">
        <v>12644</v>
      </c>
      <c r="B70" s="10" t="s">
        <v>237</v>
      </c>
      <c r="C70" t="str">
        <f t="shared" si="1"/>
        <v xml:space="preserve">12644 Leporillus apicalis  </v>
      </c>
      <c r="D70" s="2">
        <v>129.91665993942641</v>
      </c>
      <c r="E70" s="2">
        <v>-31.500003674349536</v>
      </c>
    </row>
    <row r="71" spans="1:7">
      <c r="A71" s="8">
        <v>105480</v>
      </c>
      <c r="B71" s="10" t="s">
        <v>237</v>
      </c>
      <c r="C71" t="str">
        <f t="shared" si="1"/>
        <v xml:space="preserve">105480 Leporillus apicalis  </v>
      </c>
      <c r="D71" s="2">
        <v>129.93292427739746</v>
      </c>
      <c r="E71" s="2">
        <v>-26.893581422014282</v>
      </c>
    </row>
    <row r="72" spans="1:7">
      <c r="A72" s="8">
        <v>12700</v>
      </c>
      <c r="B72" s="10" t="s">
        <v>237</v>
      </c>
      <c r="C72" t="str">
        <f t="shared" si="1"/>
        <v xml:space="preserve">12700 Leporillus apicalis  </v>
      </c>
      <c r="D72" s="2">
        <v>130.66666321618661</v>
      </c>
      <c r="E72" s="2">
        <v>-26.616672857216347</v>
      </c>
    </row>
    <row r="73" spans="1:7">
      <c r="A73" s="1" t="s">
        <v>239</v>
      </c>
      <c r="B73" s="1" t="str">
        <f>'NPC NT'!C16</f>
        <v>Leporillus apicalis</v>
      </c>
      <c r="C73" t="str">
        <f t="shared" si="1"/>
        <v>NPC NT 2002 Leporillus apicalis 31624  Pinnacles Station</v>
      </c>
      <c r="D73" s="5">
        <f>'NPC NT'!H16</f>
        <v>130.83000000000001</v>
      </c>
      <c r="E73" s="5">
        <v>-23.8</v>
      </c>
      <c r="F73" s="11">
        <f>'NPC NT'!J16</f>
        <v>31624</v>
      </c>
      <c r="G73" t="s">
        <v>764</v>
      </c>
    </row>
    <row r="74" spans="1:7">
      <c r="A74" s="1" t="s">
        <v>239</v>
      </c>
      <c r="B74" s="1" t="str">
        <f>'NPC NT'!C18</f>
        <v>Leporillus apicalis</v>
      </c>
      <c r="C74" t="str">
        <f t="shared" si="1"/>
        <v xml:space="preserve">NPC NT 2002 Leporillus apicalis 00/09/1983 </v>
      </c>
      <c r="D74" s="5">
        <f>'NPC NT'!H18</f>
        <v>131.03</v>
      </c>
      <c r="E74" s="5">
        <v>-25.35</v>
      </c>
      <c r="F74" s="11" t="str">
        <f>'NPC NT'!J18</f>
        <v>00/09/1983</v>
      </c>
    </row>
    <row r="75" spans="1:7">
      <c r="A75" s="1" t="s">
        <v>239</v>
      </c>
      <c r="B75" s="1" t="str">
        <f>'NPC NT'!C19</f>
        <v>Leporillus apicalis</v>
      </c>
      <c r="C75" t="str">
        <f t="shared" si="1"/>
        <v xml:space="preserve">NPC NT 2002 Leporillus apicalis 00/09/1983 </v>
      </c>
      <c r="D75" s="5">
        <f>'NPC NT'!H19</f>
        <v>131.03</v>
      </c>
      <c r="E75" s="5">
        <v>-25.35</v>
      </c>
      <c r="F75" s="11" t="str">
        <f>'NPC NT'!J19</f>
        <v>00/09/1983</v>
      </c>
    </row>
    <row r="76" spans="1:7">
      <c r="A76" s="1" t="s">
        <v>239</v>
      </c>
      <c r="B76" s="1" t="str">
        <f>'NPC NT'!C20</f>
        <v>Leporillus apicalis</v>
      </c>
      <c r="C76" t="str">
        <f t="shared" si="1"/>
        <v xml:space="preserve">NPC NT 2002 Leporillus apicalis 0/9/1983 </v>
      </c>
      <c r="D76" s="5">
        <f>'NPC NT'!H20</f>
        <v>131.03</v>
      </c>
      <c r="E76" s="5">
        <v>-25.35</v>
      </c>
      <c r="F76" s="11" t="str">
        <f>'NPC NT'!J20</f>
        <v>0/9/1983</v>
      </c>
    </row>
    <row r="77" spans="1:7">
      <c r="A77" s="1" t="s">
        <v>239</v>
      </c>
      <c r="B77" s="1" t="str">
        <f>'NPC NT'!C21</f>
        <v>Leporillus apicalis</v>
      </c>
      <c r="C77" t="str">
        <f t="shared" si="1"/>
        <v xml:space="preserve">NPC NT 2002 Leporillus apicalis 0/9/1983 </v>
      </c>
      <c r="D77" s="5">
        <f>'NPC NT'!H21</f>
        <v>131.03</v>
      </c>
      <c r="E77" s="5">
        <v>-25.35</v>
      </c>
      <c r="F77" s="11" t="str">
        <f>'NPC NT'!J21</f>
        <v>0/9/1983</v>
      </c>
    </row>
    <row r="78" spans="1:7">
      <c r="A78" s="1" t="s">
        <v>239</v>
      </c>
      <c r="B78" s="1" t="str">
        <f>'NPC NT'!C17</f>
        <v>Leporillus apicalis</v>
      </c>
      <c r="C78" t="str">
        <f t="shared" si="1"/>
        <v xml:space="preserve">NPC NT 2002 Leporillus apicalis 31623 </v>
      </c>
      <c r="D78" s="5">
        <f>'NPC NT'!H17</f>
        <v>131.31</v>
      </c>
      <c r="E78" s="5">
        <v>-23.83</v>
      </c>
      <c r="F78" s="11">
        <f>'NPC NT'!J17</f>
        <v>31623</v>
      </c>
    </row>
    <row r="79" spans="1:7">
      <c r="A79" s="1">
        <v>12674</v>
      </c>
      <c r="B79" s="1" t="s">
        <v>237</v>
      </c>
      <c r="C79" t="str">
        <f t="shared" si="1"/>
        <v xml:space="preserve">12674 Leporillus apicalis  </v>
      </c>
      <c r="D79" s="5">
        <v>132.166661</v>
      </c>
      <c r="E79" s="5">
        <v>-30.866669999999999</v>
      </c>
    </row>
    <row r="80" spans="1:7">
      <c r="A80" s="1" t="s">
        <v>239</v>
      </c>
      <c r="B80" s="1" t="str">
        <f>'NPC NT'!C22</f>
        <v>Leporillus apicalis</v>
      </c>
      <c r="C80" t="str">
        <f t="shared" si="1"/>
        <v xml:space="preserve">NPC NT 2002 Leporillus apicalis 33147 </v>
      </c>
      <c r="D80" s="5">
        <f>'NPC NT'!H22</f>
        <v>133.41</v>
      </c>
      <c r="E80" s="5">
        <v>-24.03</v>
      </c>
      <c r="F80" s="11">
        <f>'NPC NT'!J22</f>
        <v>33147</v>
      </c>
    </row>
    <row r="81" spans="1:7">
      <c r="A81" s="1" t="s">
        <v>239</v>
      </c>
      <c r="B81" s="1" t="str">
        <f>'NPC NT'!C23</f>
        <v>Leporillus apicalis</v>
      </c>
      <c r="C81" t="str">
        <f t="shared" si="1"/>
        <v xml:space="preserve">NPC NT 2002 Leporillus apicalis 31617 </v>
      </c>
      <c r="D81" s="5">
        <f>'NPC NT'!H23</f>
        <v>133.86000000000001</v>
      </c>
      <c r="E81" s="5">
        <v>-25.96</v>
      </c>
      <c r="F81" s="11">
        <f>'NPC NT'!J23</f>
        <v>31617</v>
      </c>
    </row>
    <row r="82" spans="1:7">
      <c r="A82" s="1" t="s">
        <v>239</v>
      </c>
      <c r="B82" s="1" t="str">
        <f>'NPC NT'!C3</f>
        <v>Leporillus apicalis</v>
      </c>
      <c r="C82" t="str">
        <f t="shared" si="1"/>
        <v xml:space="preserve">NPC NT 2002 Leporillus apicalis 31976 </v>
      </c>
      <c r="D82" s="5">
        <f>'NPC NT'!H3</f>
        <v>133.88999999999999</v>
      </c>
      <c r="E82" s="5">
        <v>-23.64</v>
      </c>
      <c r="F82" s="11">
        <f>'NPC NT'!J3</f>
        <v>31976</v>
      </c>
    </row>
    <row r="83" spans="1:7">
      <c r="A83" s="1" t="s">
        <v>239</v>
      </c>
      <c r="B83" s="1" t="str">
        <f>'NPC NT'!C24</f>
        <v>Leporillus apicalis</v>
      </c>
      <c r="C83" t="str">
        <f t="shared" si="1"/>
        <v xml:space="preserve">NPC NT 2002 Leporillus apicalis 31617 </v>
      </c>
      <c r="D83" s="5">
        <f>'NPC NT'!H24</f>
        <v>133.9</v>
      </c>
      <c r="E83" s="5">
        <v>-25.98</v>
      </c>
      <c r="F83" s="11">
        <f>'NPC NT'!J24</f>
        <v>31617</v>
      </c>
    </row>
    <row r="84" spans="1:7">
      <c r="A84" s="1" t="s">
        <v>239</v>
      </c>
      <c r="B84" s="1" t="str">
        <f>'NPC NT'!C4</f>
        <v>Leporillus apicalis</v>
      </c>
      <c r="C84" t="str">
        <f t="shared" si="1"/>
        <v xml:space="preserve">NPC NT 2002 Leporillus apicalis 31829 </v>
      </c>
      <c r="D84" s="5">
        <f>'NPC NT'!H4</f>
        <v>133.97</v>
      </c>
      <c r="E84" s="5">
        <v>-23.74</v>
      </c>
      <c r="F84" s="11">
        <f>'NPC NT'!J4</f>
        <v>31829</v>
      </c>
    </row>
    <row r="85" spans="1:7">
      <c r="A85" s="1" t="s">
        <v>239</v>
      </c>
      <c r="B85" s="1" t="str">
        <f>'NPC NT'!C5</f>
        <v>Leporillus apicalis</v>
      </c>
      <c r="C85" t="str">
        <f t="shared" si="1"/>
        <v>NPC NT 2002 Leporillus apicalis 31923  Edel Land</v>
      </c>
      <c r="D85" s="5">
        <f>'NPC NT'!H5</f>
        <v>134.33000000000001</v>
      </c>
      <c r="E85" s="5">
        <v>-23.66</v>
      </c>
      <c r="F85" s="11">
        <f>'NPC NT'!J5</f>
        <v>31923</v>
      </c>
      <c r="G85" t="s">
        <v>765</v>
      </c>
    </row>
    <row r="86" spans="1:7">
      <c r="A86" s="1" t="s">
        <v>239</v>
      </c>
      <c r="B86" s="1" t="str">
        <f>'NPC NT'!C6</f>
        <v>Leporillus apicalis</v>
      </c>
      <c r="C86" t="str">
        <f t="shared" si="1"/>
        <v xml:space="preserve">NPC NT 2002 Leporillus apicalis 31941 </v>
      </c>
      <c r="D86" s="5">
        <f>'NPC NT'!H6</f>
        <v>134.43</v>
      </c>
      <c r="E86" s="5">
        <v>-23.63</v>
      </c>
      <c r="F86" s="11">
        <f>'NPC NT'!J6</f>
        <v>31941</v>
      </c>
    </row>
    <row r="87" spans="1:7">
      <c r="A87" s="1" t="s">
        <v>239</v>
      </c>
      <c r="B87" s="1" t="str">
        <f>'NPC NT'!C7</f>
        <v>Leporillus apicalis</v>
      </c>
      <c r="C87" t="str">
        <f t="shared" si="1"/>
        <v xml:space="preserve">NPC NT 2002 Leporillus apicalis 31913 </v>
      </c>
      <c r="D87" s="5">
        <f>'NPC NT'!H7</f>
        <v>134.72999999999999</v>
      </c>
      <c r="E87" s="5">
        <v>-23.44</v>
      </c>
      <c r="F87" s="11">
        <f>'NPC NT'!J7</f>
        <v>31913</v>
      </c>
    </row>
    <row r="88" spans="1:7">
      <c r="A88" s="1" t="s">
        <v>239</v>
      </c>
      <c r="B88" s="1" t="str">
        <f>'NPC NT'!C8</f>
        <v>Leporillus apicalis</v>
      </c>
      <c r="C88" t="str">
        <f t="shared" si="1"/>
        <v xml:space="preserve">NPC NT 2002 Leporillus apicalis 31571 </v>
      </c>
      <c r="D88" s="5">
        <f>'NPC NT'!H8</f>
        <v>134.80000000000001</v>
      </c>
      <c r="E88" s="5">
        <v>-23.7</v>
      </c>
      <c r="F88" s="11">
        <f>'NPC NT'!J8</f>
        <v>31571</v>
      </c>
    </row>
    <row r="89" spans="1:7">
      <c r="A89" s="1" t="s">
        <v>239</v>
      </c>
      <c r="B89" s="1" t="str">
        <f>'NPC NT'!C9</f>
        <v>Leporillus apicalis</v>
      </c>
      <c r="C89" t="str">
        <f t="shared" si="1"/>
        <v xml:space="preserve">NPC NT 2002 Leporillus apicalis 31847 </v>
      </c>
      <c r="D89" s="5">
        <f>'NPC NT'!H9</f>
        <v>134.88</v>
      </c>
      <c r="E89" s="5">
        <v>-22.35</v>
      </c>
      <c r="F89" s="11">
        <f>'NPC NT'!J9</f>
        <v>31847</v>
      </c>
    </row>
    <row r="90" spans="1:7">
      <c r="A90" s="1" t="s">
        <v>239</v>
      </c>
      <c r="B90" s="1" t="str">
        <f>'NPC NT'!C10</f>
        <v>Leporillus apicalis</v>
      </c>
      <c r="C90" t="str">
        <f t="shared" si="1"/>
        <v xml:space="preserve">NPC NT 2002 Leporillus apicalis 00/08/1989 </v>
      </c>
      <c r="D90" s="5">
        <f>'NPC NT'!H10</f>
        <v>135.01</v>
      </c>
      <c r="E90" s="5">
        <v>-23.56</v>
      </c>
      <c r="F90" s="11" t="str">
        <f>'NPC NT'!J10</f>
        <v>00/08/1989</v>
      </c>
    </row>
    <row r="91" spans="1:7">
      <c r="A91" s="1" t="s">
        <v>239</v>
      </c>
      <c r="B91" s="1" t="str">
        <f>'NPC NT'!C11</f>
        <v>Leporillus apicalis</v>
      </c>
      <c r="C91" t="str">
        <f t="shared" si="1"/>
        <v xml:space="preserve">NPC NT 2002 Leporillus apicalis 31846 </v>
      </c>
      <c r="D91" s="5">
        <f>'NPC NT'!H11</f>
        <v>135.08000000000001</v>
      </c>
      <c r="E91" s="5">
        <v>-22.78</v>
      </c>
      <c r="F91" s="11">
        <f>'NPC NT'!J11</f>
        <v>31846</v>
      </c>
    </row>
    <row r="92" spans="1:7">
      <c r="A92" s="1" t="s">
        <v>239</v>
      </c>
      <c r="B92" s="1" t="str">
        <f>'NPC NT'!C25</f>
        <v>Leporillus apicalis</v>
      </c>
      <c r="C92" t="str">
        <f t="shared" si="1"/>
        <v xml:space="preserve">NPC NT 2002 Leporillus apicalis 31352 </v>
      </c>
      <c r="D92" s="5">
        <f>'NPC NT'!H25</f>
        <v>135.75</v>
      </c>
      <c r="E92" s="5">
        <v>-24.56</v>
      </c>
      <c r="F92" s="11">
        <f>'NPC NT'!J25</f>
        <v>31352</v>
      </c>
    </row>
    <row r="93" spans="1:7">
      <c r="A93" s="7">
        <v>12684</v>
      </c>
      <c r="B93" s="7" t="s">
        <v>237</v>
      </c>
      <c r="C93" t="str">
        <f t="shared" si="1"/>
        <v>12684 Leporillus apicalis   Dirk Hartog I.</v>
      </c>
      <c r="D93" s="5">
        <v>136.16666000000001</v>
      </c>
      <c r="E93" s="5">
        <v>-33.433340000000001</v>
      </c>
      <c r="G93" t="s">
        <v>766</v>
      </c>
    </row>
    <row r="94" spans="1:7">
      <c r="A94" s="7" t="s">
        <v>239</v>
      </c>
      <c r="B94" s="7" t="str">
        <f>'NPC NT'!C12</f>
        <v>Leporillus apicalis</v>
      </c>
      <c r="C94" t="str">
        <f t="shared" si="1"/>
        <v xml:space="preserve">NPC NT 2002 Leporillus apicalis 31119 </v>
      </c>
      <c r="D94" s="5">
        <f>'NPC NT'!H12</f>
        <v>137.16</v>
      </c>
      <c r="E94" s="5">
        <v>-23.85</v>
      </c>
      <c r="F94" s="11">
        <f>'NPC NT'!J12</f>
        <v>31119</v>
      </c>
    </row>
    <row r="95" spans="1:7">
      <c r="A95" s="7" t="s">
        <v>239</v>
      </c>
      <c r="B95" s="7" t="str">
        <f>'NPC NT'!C13</f>
        <v>Leporillus apicalis</v>
      </c>
      <c r="C95" t="str">
        <f t="shared" si="1"/>
        <v xml:space="preserve">NPC NT 2002 Leporillus apicalis 31119 </v>
      </c>
      <c r="D95" s="5">
        <f>'NPC NT'!H13</f>
        <v>137.18</v>
      </c>
      <c r="E95" s="5">
        <v>-23.83</v>
      </c>
      <c r="F95" s="11">
        <f>'NPC NT'!J13</f>
        <v>31119</v>
      </c>
    </row>
    <row r="96" spans="1:7">
      <c r="A96" s="7" t="s">
        <v>239</v>
      </c>
      <c r="B96" s="7" t="str">
        <f>'NPC NT'!C2</f>
        <v>Leporillus apicalis</v>
      </c>
      <c r="C96" t="str">
        <f t="shared" si="1"/>
        <v xml:space="preserve">NPC NT 2002 Leporillus apicalis 35329 </v>
      </c>
      <c r="D96" s="5">
        <f>'NPC NT'!H2</f>
        <v>137.25</v>
      </c>
      <c r="E96" s="5">
        <v>-22</v>
      </c>
      <c r="F96" s="11">
        <f>'NPC NT'!J2</f>
        <v>35329</v>
      </c>
    </row>
    <row r="97" spans="1:7">
      <c r="A97" s="7" t="s">
        <v>239</v>
      </c>
      <c r="B97" s="7" t="str">
        <f>'NPC NT'!C14</f>
        <v>Leporillus apicalis</v>
      </c>
      <c r="C97" t="str">
        <f t="shared" si="1"/>
        <v xml:space="preserve">NPC NT 2002 Leporillus apicalis 35329 </v>
      </c>
      <c r="D97" s="5">
        <f>'NPC NT'!H14</f>
        <v>137.25</v>
      </c>
      <c r="E97" s="5">
        <v>-22</v>
      </c>
      <c r="F97" s="11">
        <f>'NPC NT'!J14</f>
        <v>35329</v>
      </c>
    </row>
    <row r="98" spans="1:7">
      <c r="A98" s="7" t="s">
        <v>239</v>
      </c>
      <c r="B98" s="7" t="str">
        <f>'NPC NT'!C15</f>
        <v>Leporillus apicalis</v>
      </c>
      <c r="C98" t="str">
        <f t="shared" si="1"/>
        <v xml:space="preserve">NPC NT 2002 Leporillus apicalis 35329 </v>
      </c>
      <c r="D98" s="5">
        <f>'NPC NT'!H15</f>
        <v>137.32</v>
      </c>
      <c r="E98" s="5">
        <v>-22</v>
      </c>
      <c r="F98" s="11">
        <f>'NPC NT'!J15</f>
        <v>35329</v>
      </c>
    </row>
    <row r="99" spans="1:7">
      <c r="A99" s="7">
        <v>12661</v>
      </c>
      <c r="B99" s="7" t="s">
        <v>237</v>
      </c>
      <c r="C99" t="str">
        <f t="shared" si="1"/>
        <v>12661 Leporillus apicalis   Lyons R. Stn</v>
      </c>
      <c r="D99" s="5">
        <v>138.36666099999999</v>
      </c>
      <c r="E99" s="5">
        <v>-30.583334000000001</v>
      </c>
      <c r="G99" t="s">
        <v>767</v>
      </c>
    </row>
    <row r="100" spans="1:7">
      <c r="A100" s="7">
        <v>12659</v>
      </c>
      <c r="B100" s="7" t="s">
        <v>237</v>
      </c>
      <c r="C100" t="str">
        <f t="shared" si="1"/>
        <v xml:space="preserve">12659 Leporillus apicalis  </v>
      </c>
      <c r="D100" s="5">
        <v>139.28332900000001</v>
      </c>
      <c r="E100" s="5">
        <v>-30.966670000000001</v>
      </c>
    </row>
    <row r="101" spans="1:7">
      <c r="A101" s="7">
        <v>12688</v>
      </c>
      <c r="B101" s="7" t="s">
        <v>237</v>
      </c>
      <c r="C101" t="str">
        <f t="shared" si="1"/>
        <v xml:space="preserve">12688 Leporillus apicalis  </v>
      </c>
      <c r="D101" s="5">
        <v>142.166664</v>
      </c>
      <c r="E101" s="5">
        <v>-34.183342000000003</v>
      </c>
      <c r="G101" s="5"/>
    </row>
    <row r="102" spans="1:7">
      <c r="A102" s="7">
        <v>12575</v>
      </c>
      <c r="B102" s="7" t="s">
        <v>237</v>
      </c>
      <c r="C102" t="str">
        <f t="shared" si="1"/>
        <v xml:space="preserve">12575 Leporillus apicalis  </v>
      </c>
      <c r="D102" s="5">
        <v>142.18332599999999</v>
      </c>
      <c r="E102" s="5">
        <v>-34.166670000000003</v>
      </c>
    </row>
    <row r="103" spans="1:7">
      <c r="A103" s="12" t="s">
        <v>165</v>
      </c>
      <c r="B103" s="12" t="s">
        <v>167</v>
      </c>
      <c r="C103" t="str">
        <f t="shared" si="1"/>
        <v xml:space="preserve">Baynes2002 Leporillus conditor West Coast Well </v>
      </c>
      <c r="D103">
        <v>112.95</v>
      </c>
      <c r="E103" s="5">
        <v>-25.75</v>
      </c>
      <c r="F103" t="s">
        <v>768</v>
      </c>
    </row>
    <row r="104" spans="1:7">
      <c r="A104" s="12" t="s">
        <v>165</v>
      </c>
      <c r="B104" s="12" t="s">
        <v>167</v>
      </c>
      <c r="C104" t="str">
        <f t="shared" si="1"/>
        <v xml:space="preserve">Baynes2002 Leporillus conditor Herald Heights </v>
      </c>
      <c r="D104">
        <v>113.1</v>
      </c>
      <c r="E104" s="5">
        <v>-25.966999999999999</v>
      </c>
      <c r="F104" t="s">
        <v>769</v>
      </c>
    </row>
    <row r="105" spans="1:7">
      <c r="A105" s="12" t="s">
        <v>165</v>
      </c>
      <c r="B105" s="12" t="s">
        <v>167</v>
      </c>
      <c r="C105" t="str">
        <f t="shared" si="1"/>
        <v xml:space="preserve">Baynes2002 Leporillus conditor False Entrance Well </v>
      </c>
      <c r="D105">
        <v>113.3</v>
      </c>
      <c r="E105" s="5">
        <v>-26.4</v>
      </c>
      <c r="F105" t="s">
        <v>725</v>
      </c>
    </row>
    <row r="106" spans="1:7">
      <c r="A106" s="12" t="s">
        <v>165</v>
      </c>
      <c r="B106" s="12" t="s">
        <v>167</v>
      </c>
      <c r="C106" t="str">
        <f t="shared" si="1"/>
        <v xml:space="preserve">Baynes2002 Leporillus conditor Coastal cliffs </v>
      </c>
      <c r="D106">
        <v>113.43300000000001</v>
      </c>
      <c r="E106" s="5">
        <v>-24.117000000000001</v>
      </c>
      <c r="F106" t="s">
        <v>726</v>
      </c>
    </row>
    <row r="107" spans="1:7">
      <c r="A107" s="12" t="s">
        <v>165</v>
      </c>
      <c r="B107" s="12" t="s">
        <v>167</v>
      </c>
      <c r="C107" t="str">
        <f t="shared" si="1"/>
        <v xml:space="preserve">Baynes2002 Leporillus conditor Guichenault Point </v>
      </c>
      <c r="D107">
        <v>113.583</v>
      </c>
      <c r="E107" s="5">
        <v>-25.632999999999999</v>
      </c>
      <c r="F107" t="s">
        <v>727</v>
      </c>
    </row>
    <row r="108" spans="1:7">
      <c r="A108" s="12" t="s">
        <v>165</v>
      </c>
      <c r="B108" s="12" t="s">
        <v>167</v>
      </c>
      <c r="C108" t="str">
        <f t="shared" si="1"/>
        <v xml:space="preserve">Baynes2002 Leporillus conditor Baba Head </v>
      </c>
      <c r="D108">
        <v>113.68300000000001</v>
      </c>
      <c r="E108" s="5">
        <v>-26.6</v>
      </c>
      <c r="F108" t="s">
        <v>728</v>
      </c>
    </row>
    <row r="109" spans="1:7">
      <c r="A109" s="12" t="s">
        <v>165</v>
      </c>
      <c r="B109" s="12" t="s">
        <v>167</v>
      </c>
      <c r="C109" t="str">
        <f t="shared" si="1"/>
        <v xml:space="preserve">Baynes2002 Leporillus conditor Limestone ridge SE of Cardabia Hstd </v>
      </c>
      <c r="D109">
        <v>113.8</v>
      </c>
      <c r="E109" s="5">
        <v>-23.117000000000001</v>
      </c>
      <c r="F109" t="s">
        <v>729</v>
      </c>
    </row>
    <row r="110" spans="1:7">
      <c r="A110" s="12" t="s">
        <v>165</v>
      </c>
      <c r="B110" s="12" t="s">
        <v>167</v>
      </c>
      <c r="C110" t="str">
        <f t="shared" si="1"/>
        <v xml:space="preserve">Baynes2002 Leporillus conditor Bluff Point </v>
      </c>
      <c r="D110">
        <v>114.1</v>
      </c>
      <c r="E110" s="5">
        <v>-27.832999999999998</v>
      </c>
      <c r="F110" t="s">
        <v>770</v>
      </c>
    </row>
    <row r="111" spans="1:7">
      <c r="A111" s="12" t="s">
        <v>165</v>
      </c>
      <c r="B111" s="12" t="s">
        <v>167</v>
      </c>
      <c r="C111" t="str">
        <f t="shared" si="1"/>
        <v xml:space="preserve">Baynes2002 Leporillus conditor Bluffs near Yaringa Homestead </v>
      </c>
      <c r="D111">
        <v>114.283</v>
      </c>
      <c r="E111" s="5">
        <v>-25.983000000000001</v>
      </c>
      <c r="F111" t="s">
        <v>735</v>
      </c>
    </row>
    <row r="112" spans="1:7">
      <c r="A112" s="12" t="s">
        <v>165</v>
      </c>
      <c r="B112" s="12" t="s">
        <v>167</v>
      </c>
      <c r="C112" t="str">
        <f t="shared" si="1"/>
        <v xml:space="preserve">Baynes2002 Leporillus conditor Tallering Hill </v>
      </c>
      <c r="D112">
        <v>115.617</v>
      </c>
      <c r="E112" s="5">
        <v>-28.117000000000001</v>
      </c>
      <c r="F112" t="s">
        <v>739</v>
      </c>
    </row>
    <row r="113" spans="1:6">
      <c r="A113" s="12" t="s">
        <v>165</v>
      </c>
      <c r="B113" s="12" t="s">
        <v>167</v>
      </c>
      <c r="C113" t="str">
        <f t="shared" si="1"/>
        <v xml:space="preserve">Baynes2002 Leporillus conditor Narring Range </v>
      </c>
      <c r="D113">
        <v>117.18300000000001</v>
      </c>
      <c r="E113" s="5">
        <v>-28.132999999999999</v>
      </c>
      <c r="F113" t="s">
        <v>743</v>
      </c>
    </row>
    <row r="114" spans="1:6">
      <c r="A114" s="12" t="s">
        <v>165</v>
      </c>
      <c r="B114" s="12" t="s">
        <v>167</v>
      </c>
      <c r="C114" t="str">
        <f t="shared" si="1"/>
        <v xml:space="preserve">Baynes2002 Leporillus conditor Wilgie Mia </v>
      </c>
      <c r="D114">
        <v>117.7</v>
      </c>
      <c r="E114" s="5">
        <v>-26.917000000000002</v>
      </c>
      <c r="F114" t="s">
        <v>745</v>
      </c>
    </row>
    <row r="115" spans="1:6">
      <c r="A115" s="12" t="s">
        <v>165</v>
      </c>
      <c r="B115" s="12" t="s">
        <v>167</v>
      </c>
      <c r="C115" t="str">
        <f t="shared" si="1"/>
        <v xml:space="preserve">Baynes2002 Leporillus conditor Breakaway on Narndee Station </v>
      </c>
      <c r="D115">
        <v>118.31699999999999</v>
      </c>
      <c r="E115" s="5">
        <v>-29.016999999999999</v>
      </c>
      <c r="F115" t="s">
        <v>771</v>
      </c>
    </row>
    <row r="116" spans="1:6">
      <c r="A116" s="12" t="s">
        <v>165</v>
      </c>
      <c r="B116" s="12" t="s">
        <v>167</v>
      </c>
      <c r="C116" t="str">
        <f t="shared" si="1"/>
        <v xml:space="preserve">Baynes2002 Leporillus conditor Breakaway on Diemals Station </v>
      </c>
      <c r="D116">
        <v>119.367</v>
      </c>
      <c r="E116" s="5">
        <v>-29.367000000000001</v>
      </c>
      <c r="F116" t="s">
        <v>749</v>
      </c>
    </row>
    <row r="117" spans="1:6">
      <c r="A117" s="12" t="s">
        <v>165</v>
      </c>
      <c r="B117" s="12" t="s">
        <v>167</v>
      </c>
      <c r="C117" t="str">
        <f t="shared" si="1"/>
        <v xml:space="preserve">Baynes2002 Leporillus conditor White Cloud Cliffs </v>
      </c>
      <c r="D117">
        <v>120.3</v>
      </c>
      <c r="E117" s="5">
        <v>-28.117000000000001</v>
      </c>
      <c r="F117" t="s">
        <v>752</v>
      </c>
    </row>
    <row r="118" spans="1:6">
      <c r="A118" s="12" t="s">
        <v>165</v>
      </c>
      <c r="B118" s="12" t="s">
        <v>167</v>
      </c>
      <c r="C118" t="str">
        <f t="shared" si="1"/>
        <v xml:space="preserve">Baynes2002 Leporillus conditor W. end Red Lake near Kalgoorlie </v>
      </c>
      <c r="D118">
        <v>121.31699999999999</v>
      </c>
      <c r="E118" s="5">
        <v>-30.9</v>
      </c>
      <c r="F118" t="s">
        <v>772</v>
      </c>
    </row>
    <row r="119" spans="1:6">
      <c r="A119" s="12" t="s">
        <v>165</v>
      </c>
      <c r="B119" s="12" t="s">
        <v>167</v>
      </c>
      <c r="C119" t="str">
        <f t="shared" si="1"/>
        <v xml:space="preserve">Baynes2002 Leporillus conditor Old tree on Yerilla Station </v>
      </c>
      <c r="D119">
        <v>121.633</v>
      </c>
      <c r="E119" s="5">
        <v>-29.516999999999999</v>
      </c>
      <c r="F119" t="s">
        <v>755</v>
      </c>
    </row>
    <row r="120" spans="1:6">
      <c r="A120" s="6">
        <v>12708</v>
      </c>
      <c r="B120" s="4" t="s">
        <v>167</v>
      </c>
      <c r="C120" t="str">
        <f t="shared" si="1"/>
        <v xml:space="preserve">12708 Leporillus conditor  </v>
      </c>
      <c r="D120" s="2">
        <v>125.33332500009357</v>
      </c>
      <c r="E120" s="2">
        <v>-31.066672912338699</v>
      </c>
    </row>
    <row r="121" spans="1:6">
      <c r="A121" s="6">
        <v>12787</v>
      </c>
      <c r="B121" s="4" t="s">
        <v>167</v>
      </c>
      <c r="C121" t="str">
        <f t="shared" si="1"/>
        <v xml:space="preserve">12787 Leporillus conditor  </v>
      </c>
      <c r="D121" s="2">
        <v>125.86665715174163</v>
      </c>
      <c r="E121" s="2">
        <v>-31.983336964763954</v>
      </c>
    </row>
    <row r="122" spans="1:6">
      <c r="A122" s="6">
        <v>12679</v>
      </c>
      <c r="B122" s="4" t="s">
        <v>167</v>
      </c>
      <c r="C122" t="str">
        <f t="shared" si="1"/>
        <v xml:space="preserve">12679 Leporillus conditor  </v>
      </c>
      <c r="D122" s="2">
        <v>125.88332589087337</v>
      </c>
      <c r="E122" s="2">
        <v>-32.216670195722415</v>
      </c>
    </row>
    <row r="123" spans="1:6">
      <c r="A123" s="6">
        <v>12739</v>
      </c>
      <c r="B123" s="4" t="s">
        <v>167</v>
      </c>
      <c r="C123" t="str">
        <f t="shared" si="1"/>
        <v xml:space="preserve">12739 Leporillus conditor  </v>
      </c>
      <c r="D123" s="2">
        <v>125.91666592057311</v>
      </c>
      <c r="E123" s="2">
        <v>-31.966669920192786</v>
      </c>
    </row>
    <row r="124" spans="1:6">
      <c r="A124" s="3">
        <v>12789</v>
      </c>
      <c r="B124" s="4" t="s">
        <v>167</v>
      </c>
      <c r="C124" t="str">
        <f t="shared" si="1"/>
        <v xml:space="preserve">12789 Leporillus conditor  </v>
      </c>
      <c r="D124" s="2">
        <v>126.03332736910907</v>
      </c>
      <c r="E124" s="2">
        <v>-32.050003190943805</v>
      </c>
    </row>
    <row r="125" spans="1:6">
      <c r="A125" s="3">
        <v>12714</v>
      </c>
      <c r="B125" s="4" t="s">
        <v>167</v>
      </c>
      <c r="C125" t="str">
        <f t="shared" si="1"/>
        <v xml:space="preserve">12714 Leporillus conditor  </v>
      </c>
      <c r="D125" s="2">
        <v>126.03332882986672</v>
      </c>
      <c r="E125" s="2">
        <v>-32.06667451851645</v>
      </c>
    </row>
    <row r="126" spans="1:6">
      <c r="A126" s="3">
        <v>12712</v>
      </c>
      <c r="B126" s="4" t="s">
        <v>167</v>
      </c>
      <c r="C126" t="str">
        <f t="shared" si="1"/>
        <v xml:space="preserve">12712 Leporillus conditor  </v>
      </c>
      <c r="D126" s="2">
        <v>126.18332362765844</v>
      </c>
      <c r="E126" s="2">
        <v>-32.033337926136866</v>
      </c>
    </row>
    <row r="127" spans="1:6">
      <c r="A127" s="3">
        <v>12740</v>
      </c>
      <c r="B127" s="4" t="s">
        <v>167</v>
      </c>
      <c r="C127" t="str">
        <f t="shared" si="1"/>
        <v xml:space="preserve">12740 Leporillus conditor  </v>
      </c>
      <c r="D127" s="2">
        <v>126.49998998843144</v>
      </c>
      <c r="E127" s="2">
        <v>-31.983339645420322</v>
      </c>
    </row>
    <row r="128" spans="1:6">
      <c r="A128" s="3">
        <v>12726</v>
      </c>
      <c r="B128" s="4" t="s">
        <v>167</v>
      </c>
      <c r="C128" t="str">
        <f t="shared" si="1"/>
        <v xml:space="preserve">12726 Leporillus conditor  </v>
      </c>
      <c r="D128" s="2">
        <v>126.73332634405332</v>
      </c>
      <c r="E128" s="2">
        <v>-31.850007684654891</v>
      </c>
    </row>
    <row r="129" spans="1:5">
      <c r="A129" s="3">
        <v>12720</v>
      </c>
      <c r="B129" s="4" t="s">
        <v>167</v>
      </c>
      <c r="C129" t="str">
        <f t="shared" si="1"/>
        <v xml:space="preserve">12720 Leporillus conditor  </v>
      </c>
      <c r="D129" s="2">
        <v>126.79999323297812</v>
      </c>
      <c r="E129" s="2">
        <v>-31.033333942613755</v>
      </c>
    </row>
    <row r="130" spans="1:5">
      <c r="A130" s="3">
        <v>12724</v>
      </c>
      <c r="B130" s="4" t="s">
        <v>167</v>
      </c>
      <c r="C130" t="str">
        <f t="shared" si="1"/>
        <v xml:space="preserve">12724 Leporillus conditor  </v>
      </c>
      <c r="D130" s="2">
        <v>127.01666131600247</v>
      </c>
      <c r="E130" s="2">
        <v>-31.750007232882069</v>
      </c>
    </row>
    <row r="131" spans="1:5">
      <c r="A131" s="3">
        <v>12728</v>
      </c>
      <c r="B131" s="4" t="s">
        <v>167</v>
      </c>
      <c r="C131" t="str">
        <f t="shared" ref="C131:C194" si="2">A131&amp;" "&amp;B131&amp;" "&amp;F131&amp;" "&amp;G131</f>
        <v xml:space="preserve">12728 Leporillus conditor  </v>
      </c>
      <c r="D131" s="2">
        <v>127.03332457729357</v>
      </c>
      <c r="E131" s="2">
        <v>-31.966673172226823</v>
      </c>
    </row>
    <row r="132" spans="1:5">
      <c r="A132" s="3">
        <v>12786</v>
      </c>
      <c r="B132" s="4" t="s">
        <v>167</v>
      </c>
      <c r="C132" t="str">
        <f t="shared" si="2"/>
        <v xml:space="preserve">12786 Leporillus conditor  </v>
      </c>
      <c r="D132" s="2">
        <v>127.03332876663272</v>
      </c>
      <c r="E132" s="2">
        <v>-31.983341211053684</v>
      </c>
    </row>
    <row r="133" spans="1:5">
      <c r="A133" s="3">
        <v>12742</v>
      </c>
      <c r="B133" s="4" t="s">
        <v>167</v>
      </c>
      <c r="C133" t="str">
        <f t="shared" si="2"/>
        <v xml:space="preserve">12742 Leporillus conditor  </v>
      </c>
      <c r="D133" s="2">
        <v>127.06665795023805</v>
      </c>
      <c r="E133" s="2">
        <v>-30.966666761633562</v>
      </c>
    </row>
    <row r="134" spans="1:5">
      <c r="A134" s="3">
        <v>12748</v>
      </c>
      <c r="B134" s="4" t="s">
        <v>167</v>
      </c>
      <c r="C134" t="str">
        <f t="shared" si="2"/>
        <v xml:space="preserve">12748 Leporillus conditor  </v>
      </c>
      <c r="D134" s="2">
        <v>127.18333042201293</v>
      </c>
      <c r="E134" s="2">
        <v>-31.433337192970523</v>
      </c>
    </row>
    <row r="135" spans="1:5">
      <c r="A135" s="3">
        <v>12765</v>
      </c>
      <c r="B135" s="4" t="s">
        <v>167</v>
      </c>
      <c r="C135" t="str">
        <f t="shared" si="2"/>
        <v xml:space="preserve">12765 Leporillus conditor  </v>
      </c>
      <c r="D135" s="2">
        <v>127.23332893757382</v>
      </c>
      <c r="E135" s="2">
        <v>-31.6666743406835</v>
      </c>
    </row>
    <row r="136" spans="1:5">
      <c r="A136" s="3">
        <v>12764</v>
      </c>
      <c r="B136" s="4" t="s">
        <v>167</v>
      </c>
      <c r="C136" t="str">
        <f t="shared" si="2"/>
        <v xml:space="preserve">12764 Leporillus conditor  </v>
      </c>
      <c r="D136" s="2">
        <v>127.23333085592573</v>
      </c>
      <c r="E136" s="2">
        <v>-31.716673802217635</v>
      </c>
    </row>
    <row r="137" spans="1:5">
      <c r="A137" s="3">
        <v>12741</v>
      </c>
      <c r="B137" s="4" t="s">
        <v>167</v>
      </c>
      <c r="C137" t="str">
        <f t="shared" si="2"/>
        <v xml:space="preserve">12741 Leporillus conditor  </v>
      </c>
      <c r="D137" s="2">
        <v>127.2333316265471</v>
      </c>
      <c r="E137" s="2">
        <v>-31.566674443270795</v>
      </c>
    </row>
    <row r="138" spans="1:5">
      <c r="A138" s="3">
        <v>12696</v>
      </c>
      <c r="B138" s="4" t="s">
        <v>167</v>
      </c>
      <c r="C138" t="str">
        <f t="shared" si="2"/>
        <v xml:space="preserve">12696 Leporillus conditor  </v>
      </c>
      <c r="D138" s="2">
        <v>127.43332620260664</v>
      </c>
      <c r="E138" s="2">
        <v>-31.650000943509845</v>
      </c>
    </row>
    <row r="139" spans="1:5">
      <c r="A139" s="3">
        <v>12722</v>
      </c>
      <c r="B139" s="4" t="s">
        <v>167</v>
      </c>
      <c r="C139" t="str">
        <f t="shared" si="2"/>
        <v xml:space="preserve">12722 Leporillus conditor  </v>
      </c>
      <c r="D139" s="2">
        <v>127.43332620260664</v>
      </c>
      <c r="E139" s="2">
        <v>-31.650000943509845</v>
      </c>
    </row>
    <row r="140" spans="1:5">
      <c r="A140" s="3">
        <v>12719</v>
      </c>
      <c r="B140" s="4" t="s">
        <v>167</v>
      </c>
      <c r="C140" t="str">
        <f t="shared" si="2"/>
        <v xml:space="preserve">12719 Leporillus conditor  </v>
      </c>
      <c r="D140" s="2">
        <v>127.71666062389029</v>
      </c>
      <c r="E140" s="2">
        <v>-31.83333477294163</v>
      </c>
    </row>
    <row r="141" spans="1:5">
      <c r="A141" s="3">
        <v>12751</v>
      </c>
      <c r="B141" s="4" t="s">
        <v>167</v>
      </c>
      <c r="C141" t="str">
        <f t="shared" si="2"/>
        <v xml:space="preserve">12751 Leporillus conditor  </v>
      </c>
      <c r="D141" s="2">
        <v>127.71666116878031</v>
      </c>
      <c r="E141" s="2">
        <v>-31.683340805906472</v>
      </c>
    </row>
    <row r="142" spans="1:5">
      <c r="A142" s="3">
        <v>12769</v>
      </c>
      <c r="B142" s="4" t="s">
        <v>167</v>
      </c>
      <c r="C142" t="str">
        <f t="shared" si="2"/>
        <v xml:space="preserve">12769 Leporillus conditor  </v>
      </c>
      <c r="D142" s="2">
        <v>127.79999437308508</v>
      </c>
      <c r="E142" s="2">
        <v>-31.775005300990752</v>
      </c>
    </row>
    <row r="143" spans="1:5">
      <c r="A143" s="3">
        <v>12717</v>
      </c>
      <c r="B143" s="4" t="s">
        <v>167</v>
      </c>
      <c r="C143" t="str">
        <f t="shared" si="2"/>
        <v xml:space="preserve">12717 Leporillus conditor  </v>
      </c>
      <c r="D143" s="2">
        <v>127.79999638903517</v>
      </c>
      <c r="E143" s="2">
        <v>-31.766669713229184</v>
      </c>
    </row>
    <row r="144" spans="1:5">
      <c r="A144" s="3">
        <v>12782</v>
      </c>
      <c r="B144" s="4" t="s">
        <v>167</v>
      </c>
      <c r="C144" t="str">
        <f t="shared" si="2"/>
        <v xml:space="preserve">12782 Leporillus conditor  </v>
      </c>
      <c r="D144" s="2">
        <v>127.79999638903517</v>
      </c>
      <c r="E144" s="2">
        <v>-31.766669713229184</v>
      </c>
    </row>
    <row r="145" spans="1:7">
      <c r="A145" s="3">
        <v>12745</v>
      </c>
      <c r="B145" s="4" t="s">
        <v>167</v>
      </c>
      <c r="C145" t="str">
        <f t="shared" si="2"/>
        <v xml:space="preserve">12745 Leporillus conditor  </v>
      </c>
      <c r="D145" s="2">
        <v>127.86665757613356</v>
      </c>
      <c r="E145" s="2">
        <v>-31.433338723018377</v>
      </c>
    </row>
    <row r="146" spans="1:7">
      <c r="A146" s="3">
        <v>12761</v>
      </c>
      <c r="B146" s="4" t="s">
        <v>167</v>
      </c>
      <c r="C146" t="str">
        <f t="shared" si="2"/>
        <v xml:space="preserve">12761 Leporillus conditor  </v>
      </c>
      <c r="D146" s="2">
        <v>127.94999560222529</v>
      </c>
      <c r="E146" s="2">
        <v>-31.166670780983626</v>
      </c>
    </row>
    <row r="147" spans="1:7">
      <c r="A147" s="3">
        <v>12744</v>
      </c>
      <c r="B147" s="4" t="s">
        <v>167</v>
      </c>
      <c r="C147" t="str">
        <f t="shared" si="2"/>
        <v>12744 Leporillus conditor   Mt Gibson Station</v>
      </c>
      <c r="D147" s="2">
        <v>128.48332416590603</v>
      </c>
      <c r="E147" s="2">
        <v>-31.666673342579919</v>
      </c>
      <c r="G147" t="s">
        <v>773</v>
      </c>
    </row>
    <row r="148" spans="1:7">
      <c r="A148" s="3">
        <v>12746</v>
      </c>
      <c r="B148" s="4" t="s">
        <v>167</v>
      </c>
      <c r="C148" t="str">
        <f t="shared" si="2"/>
        <v xml:space="preserve">12746 Leporillus conditor  </v>
      </c>
      <c r="D148" s="2">
        <v>128.48332778339648</v>
      </c>
      <c r="E148" s="2">
        <v>-31.250001740621826</v>
      </c>
    </row>
    <row r="149" spans="1:7">
      <c r="A149" s="3">
        <v>12756</v>
      </c>
      <c r="B149" s="4" t="s">
        <v>167</v>
      </c>
      <c r="C149" t="str">
        <f t="shared" si="2"/>
        <v xml:space="preserve">12756 Leporillus conditor  </v>
      </c>
      <c r="D149" s="2">
        <v>128.48332947992145</v>
      </c>
      <c r="E149" s="2">
        <v>-31.700000876470028</v>
      </c>
    </row>
    <row r="150" spans="1:7">
      <c r="A150" s="3">
        <v>12754</v>
      </c>
      <c r="B150" s="4" t="s">
        <v>167</v>
      </c>
      <c r="C150" t="str">
        <f t="shared" si="2"/>
        <v xml:space="preserve">12754 Leporillus conditor  </v>
      </c>
      <c r="D150" s="2">
        <v>128.48333202306591</v>
      </c>
      <c r="E150" s="2">
        <v>-31.716673600125294</v>
      </c>
    </row>
    <row r="151" spans="1:7">
      <c r="A151" s="3">
        <v>12784</v>
      </c>
      <c r="B151" s="4" t="s">
        <v>167</v>
      </c>
      <c r="C151" t="str">
        <f t="shared" si="2"/>
        <v xml:space="preserve">12784 Leporillus conditor  </v>
      </c>
      <c r="D151" s="2">
        <v>128.48333204168273</v>
      </c>
      <c r="E151" s="2">
        <v>-31.650000531334182</v>
      </c>
    </row>
    <row r="152" spans="1:7">
      <c r="A152" s="3">
        <v>12752</v>
      </c>
      <c r="B152" s="4" t="s">
        <v>167</v>
      </c>
      <c r="C152" t="str">
        <f t="shared" si="2"/>
        <v xml:space="preserve">12752 Leporillus conditor  </v>
      </c>
      <c r="D152" s="2">
        <v>128.58333146886292</v>
      </c>
      <c r="E152" s="2">
        <v>-31.400005043494403</v>
      </c>
    </row>
    <row r="153" spans="1:7">
      <c r="A153" s="3">
        <v>13238</v>
      </c>
      <c r="B153" s="4" t="s">
        <v>167</v>
      </c>
      <c r="C153" t="str">
        <f t="shared" si="2"/>
        <v xml:space="preserve">13238 Leporillus conditor  </v>
      </c>
      <c r="D153" s="2">
        <v>128.66666143104169</v>
      </c>
      <c r="E153" s="2">
        <v>-30.483338101848702</v>
      </c>
    </row>
    <row r="154" spans="1:7">
      <c r="A154" s="12" t="s">
        <v>165</v>
      </c>
      <c r="B154" s="12" t="s">
        <v>167</v>
      </c>
      <c r="C154" t="str">
        <f t="shared" si="2"/>
        <v xml:space="preserve">Baynes2002 Leporillus conditor Nullarbor sinkhole </v>
      </c>
      <c r="D154">
        <v>128.667</v>
      </c>
      <c r="E154" s="5">
        <v>-30.483000000000001</v>
      </c>
      <c r="F154" t="s">
        <v>774</v>
      </c>
    </row>
    <row r="155" spans="1:7">
      <c r="A155" s="3">
        <v>12763</v>
      </c>
      <c r="B155" s="4" t="s">
        <v>167</v>
      </c>
      <c r="C155" t="str">
        <f t="shared" si="2"/>
        <v xml:space="preserve">12763 Leporillus conditor  </v>
      </c>
      <c r="D155" s="2">
        <v>128.74998967975071</v>
      </c>
      <c r="E155" s="2">
        <v>-31.066674992483581</v>
      </c>
    </row>
    <row r="156" spans="1:7">
      <c r="A156" s="3">
        <v>12760</v>
      </c>
      <c r="B156" s="4" t="s">
        <v>167</v>
      </c>
      <c r="C156" t="str">
        <f t="shared" si="2"/>
        <v xml:space="preserve">12760 Leporillus conditor  </v>
      </c>
      <c r="D156" s="2">
        <v>129.03333021296604</v>
      </c>
      <c r="E156" s="2">
        <v>-31.683341528055401</v>
      </c>
    </row>
    <row r="157" spans="1:7">
      <c r="A157" s="3">
        <v>12758</v>
      </c>
      <c r="B157" s="4" t="s">
        <v>167</v>
      </c>
      <c r="C157" t="str">
        <f t="shared" si="2"/>
        <v xml:space="preserve">12758 Leporillus conditor  </v>
      </c>
      <c r="D157" s="2">
        <v>129.09999897198571</v>
      </c>
      <c r="E157" s="2">
        <v>-31.533337490179314</v>
      </c>
    </row>
    <row r="158" spans="1:7">
      <c r="A158" s="3">
        <v>12677</v>
      </c>
      <c r="B158" s="4" t="s">
        <v>167</v>
      </c>
      <c r="C158" t="str">
        <f t="shared" si="2"/>
        <v xml:space="preserve">12677 Leporillus conditor  </v>
      </c>
      <c r="D158" s="2">
        <v>129.24999737521688</v>
      </c>
      <c r="E158" s="2">
        <v>-29.750005231182612</v>
      </c>
    </row>
    <row r="159" spans="1:7">
      <c r="A159" s="3">
        <v>12646</v>
      </c>
      <c r="B159" s="4" t="s">
        <v>167</v>
      </c>
      <c r="C159" t="str">
        <f t="shared" si="2"/>
        <v xml:space="preserve">12646 Leporillus conditor  </v>
      </c>
      <c r="D159" s="2">
        <v>129.83332690118078</v>
      </c>
      <c r="E159" s="2">
        <v>-31.400003850662603</v>
      </c>
    </row>
    <row r="160" spans="1:7">
      <c r="A160" s="3">
        <v>12645</v>
      </c>
      <c r="B160" s="4" t="s">
        <v>167</v>
      </c>
      <c r="C160" t="str">
        <f t="shared" si="2"/>
        <v xml:space="preserve">12645 Leporillus conditor  </v>
      </c>
      <c r="D160" s="2">
        <v>129.91665993942641</v>
      </c>
      <c r="E160" s="2">
        <v>-31.500003674349536</v>
      </c>
    </row>
    <row r="161" spans="1:7">
      <c r="A161" s="3">
        <v>12767</v>
      </c>
      <c r="B161" s="4" t="s">
        <v>167</v>
      </c>
      <c r="C161" t="str">
        <f t="shared" si="2"/>
        <v xml:space="preserve">12767 Leporillus conditor  </v>
      </c>
      <c r="D161" s="2">
        <v>130.96666169629589</v>
      </c>
      <c r="E161" s="2">
        <v>-30.550008029157617</v>
      </c>
    </row>
    <row r="162" spans="1:7">
      <c r="A162" s="3">
        <v>12689</v>
      </c>
      <c r="B162" s="4" t="s">
        <v>167</v>
      </c>
      <c r="C162" t="str">
        <f t="shared" si="2"/>
        <v>12689 Leporillus conditor   Kalbarri National Park</v>
      </c>
      <c r="D162" s="2">
        <v>131.24999292928266</v>
      </c>
      <c r="E162" s="2">
        <v>-30.25000357260447</v>
      </c>
      <c r="G162" t="s">
        <v>775</v>
      </c>
    </row>
    <row r="163" spans="1:7">
      <c r="A163" s="3">
        <v>12692</v>
      </c>
      <c r="B163" s="4" t="s">
        <v>167</v>
      </c>
      <c r="C163" t="str">
        <f t="shared" si="2"/>
        <v xml:space="preserve">12692 Leporillus conditor  </v>
      </c>
      <c r="D163" s="2">
        <v>131.24999365145518</v>
      </c>
      <c r="E163" s="2">
        <v>-30.583341422105857</v>
      </c>
    </row>
    <row r="164" spans="1:7">
      <c r="A164" s="3">
        <v>12693</v>
      </c>
      <c r="B164" s="4" t="s">
        <v>167</v>
      </c>
      <c r="C164" t="str">
        <f t="shared" si="2"/>
        <v xml:space="preserve">12693 Leporillus conditor  </v>
      </c>
      <c r="D164" s="2">
        <v>131.24999365145518</v>
      </c>
      <c r="E164" s="2">
        <v>-30.583341422105857</v>
      </c>
    </row>
    <row r="165" spans="1:7">
      <c r="A165" s="3">
        <v>12699</v>
      </c>
      <c r="B165" s="4" t="s">
        <v>167</v>
      </c>
      <c r="C165" t="str">
        <f t="shared" si="2"/>
        <v xml:space="preserve">12699 Leporillus conditor  </v>
      </c>
      <c r="D165" s="2">
        <v>131.24999365145518</v>
      </c>
      <c r="E165" s="2">
        <v>-30.583341422105857</v>
      </c>
    </row>
    <row r="166" spans="1:7">
      <c r="A166" s="3">
        <v>12766</v>
      </c>
      <c r="B166" s="4" t="s">
        <v>167</v>
      </c>
      <c r="C166" t="str">
        <f t="shared" si="2"/>
        <v xml:space="preserve">12766 Leporillus conditor  </v>
      </c>
      <c r="D166" s="2">
        <v>131.24999365145518</v>
      </c>
      <c r="E166" s="2">
        <v>-30.583341422105857</v>
      </c>
    </row>
    <row r="167" spans="1:7">
      <c r="A167" s="3">
        <v>12690</v>
      </c>
      <c r="B167" s="4" t="s">
        <v>167</v>
      </c>
      <c r="C167" t="str">
        <f t="shared" si="2"/>
        <v xml:space="preserve">12690 Leporillus conditor  </v>
      </c>
      <c r="D167" s="2">
        <v>131.66665895522669</v>
      </c>
      <c r="E167" s="2">
        <v>-30.450002674936943</v>
      </c>
    </row>
    <row r="168" spans="1:7">
      <c r="A168" s="3">
        <v>12691</v>
      </c>
      <c r="B168" s="4" t="s">
        <v>167</v>
      </c>
      <c r="C168" t="str">
        <f t="shared" si="2"/>
        <v xml:space="preserve">12691 Leporillus conditor  </v>
      </c>
      <c r="D168" s="2">
        <v>131.66665895522669</v>
      </c>
      <c r="E168" s="2">
        <v>-30.450002674936943</v>
      </c>
    </row>
    <row r="169" spans="1:7">
      <c r="A169" s="3">
        <v>12736</v>
      </c>
      <c r="B169" s="4" t="s">
        <v>167</v>
      </c>
      <c r="C169" t="str">
        <f t="shared" si="2"/>
        <v xml:space="preserve">12736 Leporillus conditor  </v>
      </c>
      <c r="D169" s="2">
        <v>131.66665895522669</v>
      </c>
      <c r="E169" s="2">
        <v>-30.450002674936943</v>
      </c>
    </row>
    <row r="170" spans="1:7">
      <c r="A170" s="3">
        <v>12873</v>
      </c>
      <c r="B170" s="4" t="s">
        <v>167</v>
      </c>
      <c r="C170" t="str">
        <f t="shared" si="2"/>
        <v xml:space="preserve">12873 Leporillus conditor  </v>
      </c>
      <c r="D170" s="2">
        <v>131.66666552269083</v>
      </c>
      <c r="E170" s="2">
        <v>-30.466669955720231</v>
      </c>
    </row>
    <row r="171" spans="1:7">
      <c r="A171" s="7">
        <v>12655</v>
      </c>
      <c r="B171" s="7" t="s">
        <v>167</v>
      </c>
      <c r="C171" t="str">
        <f t="shared" si="2"/>
        <v xml:space="preserve">12655 Leporillus conditor  </v>
      </c>
      <c r="D171" s="5">
        <v>133.64999399999999</v>
      </c>
      <c r="E171" s="5">
        <v>-32.450006999999999</v>
      </c>
    </row>
    <row r="172" spans="1:7">
      <c r="A172" s="7">
        <v>12662</v>
      </c>
      <c r="B172" s="7" t="s">
        <v>167</v>
      </c>
      <c r="C172" t="str">
        <f t="shared" si="2"/>
        <v xml:space="preserve">12662 Leporillus conditor  </v>
      </c>
      <c r="D172" s="5">
        <v>133.666664</v>
      </c>
      <c r="E172" s="5">
        <v>-32.450004</v>
      </c>
    </row>
    <row r="173" spans="1:7">
      <c r="A173" s="7">
        <v>12663</v>
      </c>
      <c r="B173" s="7" t="s">
        <v>167</v>
      </c>
      <c r="C173" t="str">
        <f t="shared" si="2"/>
        <v xml:space="preserve">12663 Leporillus conditor  </v>
      </c>
      <c r="D173" s="5">
        <v>133.666664</v>
      </c>
      <c r="E173" s="5">
        <v>-32.450004</v>
      </c>
    </row>
    <row r="174" spans="1:7">
      <c r="A174" s="7">
        <v>12999</v>
      </c>
      <c r="B174" s="7" t="s">
        <v>167</v>
      </c>
      <c r="C174" t="str">
        <f t="shared" si="2"/>
        <v xml:space="preserve">12999 Leporillus conditor  </v>
      </c>
      <c r="D174" s="5">
        <v>133.666664</v>
      </c>
      <c r="E174" s="5">
        <v>-32.450004</v>
      </c>
    </row>
    <row r="175" spans="1:7">
      <c r="A175" s="7">
        <v>12568</v>
      </c>
      <c r="B175" s="7" t="s">
        <v>167</v>
      </c>
      <c r="C175" t="str">
        <f t="shared" si="2"/>
        <v xml:space="preserve">12568 Leporillus conditor  Shark Bay </v>
      </c>
      <c r="D175" s="5">
        <v>134.166662</v>
      </c>
      <c r="E175" s="5">
        <v>-27.966674999999999</v>
      </c>
      <c r="F175" t="s">
        <v>776</v>
      </c>
    </row>
    <row r="176" spans="1:7">
      <c r="A176" s="7">
        <v>12733</v>
      </c>
      <c r="B176" s="7" t="s">
        <v>167</v>
      </c>
      <c r="C176" t="str">
        <f t="shared" si="2"/>
        <v xml:space="preserve">12733 Leporillus conditor  </v>
      </c>
      <c r="D176" s="5">
        <v>136.26665800000001</v>
      </c>
      <c r="E176" s="5">
        <v>-34.516666999999998</v>
      </c>
    </row>
    <row r="177" spans="1:7">
      <c r="A177" s="7">
        <v>12657</v>
      </c>
      <c r="B177" s="7" t="s">
        <v>167</v>
      </c>
      <c r="C177" t="str">
        <f t="shared" si="2"/>
        <v>12657 Leporillus conditor   Peron Peninsula</v>
      </c>
      <c r="D177" s="5">
        <v>136.99999600000001</v>
      </c>
      <c r="E177" s="5">
        <v>-28.500004000000001</v>
      </c>
      <c r="G177" t="s">
        <v>777</v>
      </c>
    </row>
    <row r="178" spans="1:7">
      <c r="A178" s="7">
        <v>18472</v>
      </c>
      <c r="B178" s="7" t="s">
        <v>167</v>
      </c>
      <c r="C178" t="str">
        <f t="shared" si="2"/>
        <v xml:space="preserve">18472 Leporillus conditor  </v>
      </c>
      <c r="D178" s="5">
        <v>138.37562500000001</v>
      </c>
      <c r="E178" s="5">
        <v>-30.258890999999998</v>
      </c>
    </row>
    <row r="179" spans="1:7">
      <c r="A179" s="7">
        <v>12660</v>
      </c>
      <c r="B179" s="7" t="s">
        <v>167</v>
      </c>
      <c r="C179" t="str">
        <f t="shared" si="2"/>
        <v>12660 Leporillus conditor   NE Cape Cuvier</v>
      </c>
      <c r="D179" s="5">
        <v>138.41666599999999</v>
      </c>
      <c r="E179" s="5">
        <v>-30.550001000000002</v>
      </c>
      <c r="G179" t="s">
        <v>778</v>
      </c>
    </row>
    <row r="180" spans="1:7">
      <c r="A180" s="7">
        <v>18497</v>
      </c>
      <c r="B180" s="7" t="s">
        <v>167</v>
      </c>
      <c r="C180" t="str">
        <f t="shared" si="2"/>
        <v xml:space="preserve">18497 Leporillus conditor  </v>
      </c>
      <c r="D180" s="5">
        <v>138.78248400000001</v>
      </c>
      <c r="E180" s="5">
        <v>-29.389538999999999</v>
      </c>
    </row>
    <row r="181" spans="1:7">
      <c r="A181" s="7">
        <v>114484</v>
      </c>
      <c r="B181" s="7" t="s">
        <v>167</v>
      </c>
      <c r="C181" t="str">
        <f t="shared" si="2"/>
        <v xml:space="preserve">114484 Leporillus conditor  </v>
      </c>
      <c r="D181" s="5">
        <v>138.90346500000001</v>
      </c>
      <c r="E181" s="5">
        <v>-31.104990999999998</v>
      </c>
    </row>
    <row r="182" spans="1:7">
      <c r="A182" s="7">
        <v>114192</v>
      </c>
      <c r="B182" s="7" t="s">
        <v>167</v>
      </c>
      <c r="C182" t="str">
        <f t="shared" si="2"/>
        <v xml:space="preserve">114192 Leporillus conditor  </v>
      </c>
      <c r="D182" s="5">
        <v>139.27306999999999</v>
      </c>
      <c r="E182" s="5">
        <v>-30.174112000000001</v>
      </c>
    </row>
    <row r="183" spans="1:7">
      <c r="A183" s="7">
        <v>12658</v>
      </c>
      <c r="B183" s="7" t="s">
        <v>167</v>
      </c>
      <c r="C183" t="str">
        <f t="shared" si="2"/>
        <v xml:space="preserve">12658 Leporillus conditor  </v>
      </c>
      <c r="D183" s="5">
        <v>139.28332900000001</v>
      </c>
      <c r="E183" s="5">
        <v>-30.966670000000001</v>
      </c>
    </row>
    <row r="184" spans="1:7">
      <c r="A184" s="7">
        <v>12572</v>
      </c>
      <c r="B184" s="7" t="s">
        <v>167</v>
      </c>
      <c r="C184" t="str">
        <f t="shared" si="2"/>
        <v xml:space="preserve">12572 Leporillus conditor  </v>
      </c>
      <c r="D184" s="5">
        <v>141.94999300000001</v>
      </c>
      <c r="E184" s="5">
        <v>-33.950004</v>
      </c>
    </row>
    <row r="185" spans="1:7">
      <c r="A185" s="7">
        <v>12573</v>
      </c>
      <c r="B185" s="7" t="s">
        <v>167</v>
      </c>
      <c r="C185" t="str">
        <f t="shared" si="2"/>
        <v xml:space="preserve">12573 Leporillus conditor  </v>
      </c>
      <c r="D185" s="5">
        <v>141.94999300000001</v>
      </c>
      <c r="E185" s="5">
        <v>-33.950004</v>
      </c>
    </row>
    <row r="186" spans="1:7">
      <c r="A186" s="7">
        <v>12574</v>
      </c>
      <c r="B186" s="7" t="s">
        <v>167</v>
      </c>
      <c r="C186" t="str">
        <f t="shared" si="2"/>
        <v xml:space="preserve">12574 Leporillus conditor  </v>
      </c>
      <c r="D186" s="5">
        <v>141.94999300000001</v>
      </c>
      <c r="E186" s="5">
        <v>-33.950004</v>
      </c>
    </row>
    <row r="187" spans="1:7">
      <c r="A187" s="7">
        <v>12576</v>
      </c>
      <c r="B187" s="7" t="s">
        <v>167</v>
      </c>
      <c r="C187" t="str">
        <f t="shared" si="2"/>
        <v xml:space="preserve">12576 Leporillus conditor  </v>
      </c>
      <c r="D187" s="5">
        <v>142.333324</v>
      </c>
      <c r="E187" s="5">
        <v>-32.666671999999998</v>
      </c>
    </row>
    <row r="188" spans="1:7">
      <c r="A188" s="7" t="s">
        <v>159</v>
      </c>
      <c r="B188" s="7" t="s">
        <v>160</v>
      </c>
      <c r="C188" t="str">
        <f t="shared" si="2"/>
        <v>Cole2000 Leporillus midden Loves Creek Station  Edel Land</v>
      </c>
      <c r="D188" s="5">
        <v>134.33331999999999</v>
      </c>
      <c r="E188" s="5">
        <v>-23.61664</v>
      </c>
      <c r="F188" t="s">
        <v>779</v>
      </c>
      <c r="G188" t="s">
        <v>765</v>
      </c>
    </row>
    <row r="189" spans="1:7">
      <c r="A189" s="7" t="s">
        <v>159</v>
      </c>
      <c r="B189" s="7" t="s">
        <v>160</v>
      </c>
      <c r="C189" t="str">
        <f t="shared" si="2"/>
        <v xml:space="preserve">Cole2000 Leporillus midden Allitera Tableland Hale River, eastern side, around Numery Dam </v>
      </c>
      <c r="D189" s="5">
        <v>134.39998</v>
      </c>
      <c r="E189" s="5">
        <v>-23.2666</v>
      </c>
      <c r="F189" t="s">
        <v>780</v>
      </c>
    </row>
    <row r="190" spans="1:7">
      <c r="A190" s="7" t="s">
        <v>159</v>
      </c>
      <c r="B190" s="7" t="s">
        <v>160</v>
      </c>
      <c r="C190" t="str">
        <f t="shared" si="2"/>
        <v xml:space="preserve">Cole2000 Leporillus midden Manners Creek </v>
      </c>
      <c r="D190" s="5">
        <v>137.251667</v>
      </c>
      <c r="E190" s="5">
        <v>-22</v>
      </c>
      <c r="F190" t="s">
        <v>781</v>
      </c>
    </row>
    <row r="191" spans="1:7">
      <c r="A191" s="7" t="s">
        <v>159</v>
      </c>
      <c r="B191" s="7" t="s">
        <v>160</v>
      </c>
      <c r="C191" t="str">
        <f t="shared" si="2"/>
        <v xml:space="preserve">Cole2000 Leporillus midden Manners Creek </v>
      </c>
      <c r="D191" s="5">
        <v>137.32055600000001</v>
      </c>
      <c r="E191" s="5">
        <v>-22.004444444444399</v>
      </c>
      <c r="F191" t="s">
        <v>781</v>
      </c>
    </row>
    <row r="192" spans="1:7">
      <c r="A192" s="7" t="str">
        <f>FossilMiddens!A13</f>
        <v>Pearson2002</v>
      </c>
      <c r="B192" s="7" t="s">
        <v>161</v>
      </c>
      <c r="C192" t="str">
        <f t="shared" si="2"/>
        <v xml:space="preserve">Pearson2002 Leporillus sp.  </v>
      </c>
      <c r="D192" s="5">
        <f>FossilMiddens!H13</f>
        <v>0</v>
      </c>
      <c r="E192" s="5">
        <f>FossilMiddens!I13</f>
        <v>0</v>
      </c>
    </row>
    <row r="193" spans="1:5">
      <c r="A193" s="7" t="str">
        <f>FossilMiddens!A16</f>
        <v>M0236</v>
      </c>
      <c r="B193" s="7" t="s">
        <v>161</v>
      </c>
      <c r="C193" t="str">
        <f t="shared" si="2"/>
        <v xml:space="preserve">M0236 Leporillus sp.  </v>
      </c>
      <c r="D193" s="5">
        <f>FossilMiddens!H16</f>
        <v>119.66666666666667</v>
      </c>
      <c r="E193" s="5">
        <f>FossilMiddens!I16</f>
        <v>-30.5</v>
      </c>
    </row>
    <row r="194" spans="1:5">
      <c r="A194" s="7" t="str">
        <f>FossilMiddens!A96</f>
        <v>MO1</v>
      </c>
      <c r="B194" s="7" t="s">
        <v>161</v>
      </c>
      <c r="C194" t="str">
        <f t="shared" si="2"/>
        <v xml:space="preserve">MO1 Leporillus sp.  </v>
      </c>
      <c r="D194" s="5">
        <f>FossilMiddens!H96</f>
        <v>119.66666666666667</v>
      </c>
      <c r="E194" s="5">
        <f>FossilMiddens!I96</f>
        <v>-30.5</v>
      </c>
    </row>
    <row r="195" spans="1:5">
      <c r="A195" s="7" t="str">
        <f>FossilMiddens!A64</f>
        <v>PTA121A</v>
      </c>
      <c r="B195" s="7" t="s">
        <v>161</v>
      </c>
      <c r="C195" t="str">
        <f t="shared" ref="C195:C258" si="3">A195&amp;" "&amp;B195&amp;" "&amp;F195&amp;" "&amp;G195</f>
        <v xml:space="preserve">PTA121A Leporillus sp.  </v>
      </c>
      <c r="D195" s="5">
        <f>FossilMiddens!H64</f>
        <v>122.97694444444444</v>
      </c>
      <c r="E195" s="5">
        <f>FossilMiddens!I64</f>
        <v>-28.419722222222223</v>
      </c>
    </row>
    <row r="196" spans="1:5">
      <c r="A196" s="7" t="str">
        <f>FossilMiddens!A65</f>
        <v>PTA234b</v>
      </c>
      <c r="B196" s="7" t="s">
        <v>161</v>
      </c>
      <c r="C196" t="str">
        <f t="shared" si="3"/>
        <v xml:space="preserve">PTA234b Leporillus sp.  </v>
      </c>
      <c r="D196" s="5">
        <f>FossilMiddens!H65</f>
        <v>122.97694444444444</v>
      </c>
      <c r="E196" s="5">
        <f>FossilMiddens!I65</f>
        <v>-28.419722222222223</v>
      </c>
    </row>
    <row r="197" spans="1:5">
      <c r="A197" s="7" t="str">
        <f>FossilMiddens!A78</f>
        <v>QVA312</v>
      </c>
      <c r="B197" s="7" t="s">
        <v>161</v>
      </c>
      <c r="C197" t="str">
        <f t="shared" si="3"/>
        <v xml:space="preserve">QVA312 Leporillus sp.  </v>
      </c>
      <c r="D197" s="5">
        <f>FossilMiddens!H78</f>
        <v>123.26722222222222</v>
      </c>
      <c r="E197" s="5">
        <f>FossilMiddens!I78</f>
        <v>-30.328888888888887</v>
      </c>
    </row>
    <row r="198" spans="1:5">
      <c r="A198" s="7" t="str">
        <f>FossilMiddens!A79</f>
        <v>QVA464</v>
      </c>
      <c r="B198" s="7" t="s">
        <v>161</v>
      </c>
      <c r="C198" t="str">
        <f t="shared" si="3"/>
        <v xml:space="preserve">QVA464 Leporillus sp.  </v>
      </c>
      <c r="D198" s="5">
        <f>FossilMiddens!H79</f>
        <v>123.26722222222222</v>
      </c>
      <c r="E198" s="5">
        <f>FossilMiddens!I79</f>
        <v>-30.328888888888887</v>
      </c>
    </row>
    <row r="199" spans="1:5">
      <c r="A199" s="7" t="str">
        <f>FossilMiddens!A80</f>
        <v>QVB107</v>
      </c>
      <c r="B199" s="7" t="s">
        <v>161</v>
      </c>
      <c r="C199" t="str">
        <f t="shared" si="3"/>
        <v xml:space="preserve">QVB107 Leporillus sp.  </v>
      </c>
      <c r="D199" s="5">
        <f>FossilMiddens!H80</f>
        <v>123.26722222222222</v>
      </c>
      <c r="E199" s="5">
        <f>FossilMiddens!I80</f>
        <v>-30.328888888888887</v>
      </c>
    </row>
    <row r="200" spans="1:5">
      <c r="A200" s="7" t="str">
        <f>FossilMiddens!A81</f>
        <v>QVB37</v>
      </c>
      <c r="B200" s="7" t="s">
        <v>161</v>
      </c>
      <c r="C200" t="str">
        <f t="shared" si="3"/>
        <v xml:space="preserve">QVB37 Leporillus sp.  </v>
      </c>
      <c r="D200" s="5">
        <f>FossilMiddens!H81</f>
        <v>123.26722222222222</v>
      </c>
      <c r="E200" s="5">
        <f>FossilMiddens!I81</f>
        <v>-30.328888888888887</v>
      </c>
    </row>
    <row r="201" spans="1:5">
      <c r="A201" s="7" t="str">
        <f>FossilMiddens!A82</f>
        <v>QVB37</v>
      </c>
      <c r="B201" s="7" t="s">
        <v>161</v>
      </c>
      <c r="C201" t="str">
        <f t="shared" si="3"/>
        <v xml:space="preserve">QVB37 Leporillus sp.  </v>
      </c>
      <c r="D201" s="5">
        <f>FossilMiddens!H82</f>
        <v>123.26722222222222</v>
      </c>
      <c r="E201" s="5">
        <f>FossilMiddens!I82</f>
        <v>-30.328888888888887</v>
      </c>
    </row>
    <row r="202" spans="1:5">
      <c r="A202" s="7" t="str">
        <f>FossilMiddens!A20</f>
        <v>M0505</v>
      </c>
      <c r="B202" s="7" t="s">
        <v>161</v>
      </c>
      <c r="C202" t="str">
        <f t="shared" si="3"/>
        <v xml:space="preserve">M0505 Leporillus sp.  </v>
      </c>
      <c r="D202" s="5">
        <f>FossilMiddens!H20</f>
        <v>124.98333333333333</v>
      </c>
      <c r="E202" s="5">
        <f>FossilMiddens!I20</f>
        <v>-25.05</v>
      </c>
    </row>
    <row r="203" spans="1:5">
      <c r="A203" s="7" t="str">
        <f>FossilMiddens!A21</f>
        <v>M05170b</v>
      </c>
      <c r="B203" s="7" t="s">
        <v>161</v>
      </c>
      <c r="C203" t="str">
        <f t="shared" si="3"/>
        <v xml:space="preserve">M05170b Leporillus sp.  </v>
      </c>
      <c r="D203" s="5">
        <f>FossilMiddens!H21</f>
        <v>124.98333333333333</v>
      </c>
      <c r="E203" s="5">
        <f>FossilMiddens!I21</f>
        <v>-25.05</v>
      </c>
    </row>
    <row r="204" spans="1:5">
      <c r="A204" s="7" t="str">
        <f>FossilMiddens!A22</f>
        <v>M06</v>
      </c>
      <c r="B204" s="7" t="s">
        <v>161</v>
      </c>
      <c r="C204" t="str">
        <f t="shared" si="3"/>
        <v xml:space="preserve">M06 Leporillus sp.  </v>
      </c>
      <c r="D204" s="5">
        <f>FossilMiddens!H22</f>
        <v>124.98333333333333</v>
      </c>
      <c r="E204" s="5">
        <f>FossilMiddens!I22</f>
        <v>-25.05</v>
      </c>
    </row>
    <row r="205" spans="1:5">
      <c r="A205" s="7" t="str">
        <f>FossilMiddens!A23</f>
        <v>M0652</v>
      </c>
      <c r="B205" s="7" t="s">
        <v>161</v>
      </c>
      <c r="C205" t="str">
        <f t="shared" si="3"/>
        <v xml:space="preserve">M0652 Leporillus sp.  </v>
      </c>
      <c r="D205" s="5">
        <f>FossilMiddens!H23</f>
        <v>124.98333333333333</v>
      </c>
      <c r="E205" s="5">
        <f>FossilMiddens!I23</f>
        <v>-25.05</v>
      </c>
    </row>
    <row r="206" spans="1:5">
      <c r="A206" s="7" t="str">
        <f>FossilMiddens!A24</f>
        <v>M07</v>
      </c>
      <c r="B206" s="7" t="s">
        <v>161</v>
      </c>
      <c r="C206" t="str">
        <f t="shared" si="3"/>
        <v xml:space="preserve">M07 Leporillus sp.  </v>
      </c>
      <c r="D206" s="5">
        <f>FossilMiddens!H24</f>
        <v>124.98333333333333</v>
      </c>
      <c r="E206" s="5">
        <f>FossilMiddens!I24</f>
        <v>-25.05</v>
      </c>
    </row>
    <row r="207" spans="1:5">
      <c r="A207" s="7" t="str">
        <f>FossilMiddens!A25</f>
        <v>M07</v>
      </c>
      <c r="B207" s="7" t="s">
        <v>161</v>
      </c>
      <c r="C207" t="str">
        <f t="shared" si="3"/>
        <v xml:space="preserve">M07 Leporillus sp.  </v>
      </c>
      <c r="D207" s="5">
        <f>FossilMiddens!H25</f>
        <v>124.98333333333333</v>
      </c>
      <c r="E207" s="5">
        <f>FossilMiddens!I25</f>
        <v>-25.05</v>
      </c>
    </row>
    <row r="208" spans="1:5">
      <c r="A208" s="6">
        <v>12622</v>
      </c>
      <c r="B208" s="4" t="s">
        <v>161</v>
      </c>
      <c r="C208" t="str">
        <f t="shared" si="3"/>
        <v xml:space="preserve">12622 Leporillus sp.  </v>
      </c>
      <c r="D208" s="2">
        <v>124.9999945289191</v>
      </c>
      <c r="E208" s="2">
        <v>-25.066671958656542</v>
      </c>
    </row>
    <row r="209" spans="1:5">
      <c r="A209" s="6">
        <v>12623</v>
      </c>
      <c r="B209" s="4" t="s">
        <v>161</v>
      </c>
      <c r="C209" t="str">
        <f t="shared" si="3"/>
        <v xml:space="preserve">12623 Leporillus sp.  </v>
      </c>
      <c r="D209" s="2">
        <v>125.06665702887992</v>
      </c>
      <c r="E209" s="2">
        <v>-25.183336997400581</v>
      </c>
    </row>
    <row r="210" spans="1:5">
      <c r="A210" s="6">
        <v>12624</v>
      </c>
      <c r="B210" s="4" t="s">
        <v>161</v>
      </c>
      <c r="C210" t="str">
        <f t="shared" si="3"/>
        <v xml:space="preserve">12624 Leporillus sp.  </v>
      </c>
      <c r="D210" s="2">
        <v>125.29721833570987</v>
      </c>
      <c r="E210" s="2">
        <v>-25.550001401957275</v>
      </c>
    </row>
    <row r="211" spans="1:5">
      <c r="A211" s="6">
        <v>12711</v>
      </c>
      <c r="B211" s="4" t="s">
        <v>161</v>
      </c>
      <c r="C211" t="str">
        <f t="shared" si="3"/>
        <v xml:space="preserve">12711 Leporillus sp.  </v>
      </c>
      <c r="D211" s="2">
        <v>125.3333303540751</v>
      </c>
      <c r="E211" s="2">
        <v>-31.016668112708739</v>
      </c>
    </row>
    <row r="212" spans="1:5">
      <c r="A212" s="6">
        <v>12628</v>
      </c>
      <c r="B212" s="4" t="s">
        <v>161</v>
      </c>
      <c r="C212" t="str">
        <f t="shared" si="3"/>
        <v xml:space="preserve">12628 Leporillus sp.  </v>
      </c>
      <c r="D212" s="2">
        <v>125.41555376724865</v>
      </c>
      <c r="E212" s="2">
        <v>-26.961112555242494</v>
      </c>
    </row>
    <row r="213" spans="1:5">
      <c r="A213" s="6">
        <v>12598</v>
      </c>
      <c r="B213" s="4" t="s">
        <v>161</v>
      </c>
      <c r="C213" t="str">
        <f t="shared" si="3"/>
        <v xml:space="preserve">12598 Leporillus sp.  </v>
      </c>
      <c r="D213" s="2">
        <v>125.49999846869389</v>
      </c>
      <c r="E213" s="2">
        <v>-25.716670659143855</v>
      </c>
    </row>
    <row r="214" spans="1:5">
      <c r="A214" s="6">
        <v>12625</v>
      </c>
      <c r="B214" s="4" t="s">
        <v>161</v>
      </c>
      <c r="C214" t="str">
        <f t="shared" si="3"/>
        <v xml:space="preserve">12625 Leporillus sp.  </v>
      </c>
      <c r="D214" s="2">
        <v>125.54999282574879</v>
      </c>
      <c r="E214" s="2">
        <v>-25.247227329824295</v>
      </c>
    </row>
    <row r="215" spans="1:5">
      <c r="A215" s="6">
        <v>12593</v>
      </c>
      <c r="B215" s="4" t="s">
        <v>161</v>
      </c>
      <c r="C215" t="str">
        <f t="shared" si="3"/>
        <v xml:space="preserve">12593 Leporillus sp.  </v>
      </c>
      <c r="D215" s="2">
        <v>125.54999364908331</v>
      </c>
      <c r="E215" s="2">
        <v>-25.650005663212461</v>
      </c>
    </row>
    <row r="216" spans="1:5">
      <c r="A216" s="6">
        <v>12673</v>
      </c>
      <c r="B216" s="4" t="s">
        <v>161</v>
      </c>
      <c r="C216" t="str">
        <f t="shared" si="3"/>
        <v xml:space="preserve">12673 Leporillus sp.  </v>
      </c>
      <c r="D216" s="2">
        <v>125.58332539322357</v>
      </c>
      <c r="E216" s="2">
        <v>-25.05000248417204</v>
      </c>
    </row>
    <row r="217" spans="1:5">
      <c r="A217" s="6">
        <v>12649</v>
      </c>
      <c r="B217" s="4" t="s">
        <v>161</v>
      </c>
      <c r="C217" t="str">
        <f t="shared" si="3"/>
        <v xml:space="preserve">12649 Leporillus sp.  </v>
      </c>
      <c r="D217" s="2">
        <v>125.61666569537789</v>
      </c>
      <c r="E217" s="2">
        <v>-27.100003909878268</v>
      </c>
    </row>
    <row r="218" spans="1:5">
      <c r="A218" s="6">
        <v>12629</v>
      </c>
      <c r="B218" s="4" t="s">
        <v>161</v>
      </c>
      <c r="C218" t="str">
        <f t="shared" si="3"/>
        <v xml:space="preserve">12629 Leporillus sp.  </v>
      </c>
      <c r="D218" s="2">
        <v>125.6666570788952</v>
      </c>
      <c r="E218" s="2">
        <v>-26.850007105790201</v>
      </c>
    </row>
    <row r="219" spans="1:5">
      <c r="A219" s="6">
        <v>12651</v>
      </c>
      <c r="B219" s="4" t="s">
        <v>161</v>
      </c>
      <c r="C219" t="str">
        <f t="shared" si="3"/>
        <v xml:space="preserve">12651 Leporillus sp.  </v>
      </c>
      <c r="D219" s="2">
        <v>125.6666570788952</v>
      </c>
      <c r="E219" s="2">
        <v>-26.850007105790201</v>
      </c>
    </row>
    <row r="220" spans="1:5">
      <c r="A220" s="6">
        <v>12595</v>
      </c>
      <c r="B220" s="4" t="s">
        <v>161</v>
      </c>
      <c r="C220" t="str">
        <f t="shared" si="3"/>
        <v xml:space="preserve">12595 Leporillus sp.  </v>
      </c>
      <c r="D220" s="2">
        <v>125.86666517263507</v>
      </c>
      <c r="E220" s="2">
        <v>-26.60000359388658</v>
      </c>
    </row>
    <row r="221" spans="1:5">
      <c r="A221" s="9">
        <v>12626</v>
      </c>
      <c r="B221" s="10" t="s">
        <v>161</v>
      </c>
      <c r="C221" t="str">
        <f t="shared" si="3"/>
        <v xml:space="preserve">12626 Leporillus sp.  </v>
      </c>
      <c r="D221" s="2">
        <v>125.93054814769393</v>
      </c>
      <c r="E221" s="2">
        <v>-25.772228340572386</v>
      </c>
    </row>
    <row r="222" spans="1:5">
      <c r="A222" s="9">
        <v>12681</v>
      </c>
      <c r="B222" s="10" t="s">
        <v>161</v>
      </c>
      <c r="C222" t="str">
        <f t="shared" si="3"/>
        <v xml:space="preserve">12681 Leporillus sp.  </v>
      </c>
      <c r="D222" s="2">
        <v>125.94999782674233</v>
      </c>
      <c r="E222" s="2">
        <v>-26.783336069980294</v>
      </c>
    </row>
    <row r="223" spans="1:5">
      <c r="A223" s="9">
        <v>12704</v>
      </c>
      <c r="B223" s="10" t="s">
        <v>161</v>
      </c>
      <c r="C223" t="str">
        <f t="shared" si="3"/>
        <v xml:space="preserve">12704 Leporillus sp.  </v>
      </c>
      <c r="D223" s="2">
        <v>125.96666280727479</v>
      </c>
      <c r="E223" s="2">
        <v>-26.050008780811122</v>
      </c>
    </row>
    <row r="224" spans="1:5">
      <c r="A224" s="8">
        <v>12596</v>
      </c>
      <c r="B224" s="10" t="s">
        <v>161</v>
      </c>
      <c r="C224" t="str">
        <f t="shared" si="3"/>
        <v xml:space="preserve">12596 Leporillus sp.  </v>
      </c>
      <c r="D224" s="2">
        <v>126.01666007319861</v>
      </c>
      <c r="E224" s="2">
        <v>-26.516670009519153</v>
      </c>
    </row>
    <row r="225" spans="1:5">
      <c r="A225" s="8">
        <v>12631</v>
      </c>
      <c r="B225" s="10" t="s">
        <v>161</v>
      </c>
      <c r="C225" t="str">
        <f t="shared" si="3"/>
        <v xml:space="preserve">12631 Leporillus sp.  </v>
      </c>
      <c r="D225" s="2">
        <v>126.01666007319861</v>
      </c>
      <c r="E225" s="2">
        <v>-26.516670009519153</v>
      </c>
    </row>
    <row r="226" spans="1:5">
      <c r="A226" s="8">
        <v>12650</v>
      </c>
      <c r="B226" s="10" t="s">
        <v>161</v>
      </c>
      <c r="C226" t="str">
        <f t="shared" si="3"/>
        <v xml:space="preserve">12650 Leporillus sp.  </v>
      </c>
      <c r="D226" s="2">
        <v>126.08332714181746</v>
      </c>
      <c r="E226" s="2">
        <v>-28.30000836453808</v>
      </c>
    </row>
    <row r="227" spans="1:5">
      <c r="A227" s="8">
        <v>12627</v>
      </c>
      <c r="B227" s="10" t="s">
        <v>161</v>
      </c>
      <c r="C227" t="str">
        <f t="shared" si="3"/>
        <v xml:space="preserve">12627 Leporillus sp.  </v>
      </c>
      <c r="D227" s="2">
        <v>126.19999008634227</v>
      </c>
      <c r="E227" s="2">
        <v>-25.750004369324941</v>
      </c>
    </row>
    <row r="228" spans="1:5">
      <c r="A228" s="8">
        <v>12632</v>
      </c>
      <c r="B228" s="10" t="s">
        <v>161</v>
      </c>
      <c r="C228" t="str">
        <f t="shared" si="3"/>
        <v xml:space="preserve">12632 Leporillus sp.  </v>
      </c>
      <c r="D228" s="2">
        <v>126.29165677112783</v>
      </c>
      <c r="E228" s="2">
        <v>-27.000001245503221</v>
      </c>
    </row>
    <row r="229" spans="1:5">
      <c r="A229" s="8">
        <v>12635</v>
      </c>
      <c r="B229" s="10" t="s">
        <v>161</v>
      </c>
      <c r="C229" t="str">
        <f t="shared" si="3"/>
        <v xml:space="preserve">12635 Leporillus sp.  </v>
      </c>
      <c r="D229" s="2">
        <v>126.36665913208772</v>
      </c>
      <c r="E229" s="2">
        <v>-27.050003408329328</v>
      </c>
    </row>
    <row r="230" spans="1:5">
      <c r="A230" s="8">
        <v>12597</v>
      </c>
      <c r="B230" s="10" t="s">
        <v>161</v>
      </c>
      <c r="C230" t="str">
        <f t="shared" si="3"/>
        <v xml:space="preserve">12597 Leporillus sp.  </v>
      </c>
      <c r="D230" s="2">
        <v>126.3666631663169</v>
      </c>
      <c r="E230" s="2">
        <v>-26.833334655980345</v>
      </c>
    </row>
    <row r="231" spans="1:5">
      <c r="A231" s="8">
        <v>12633</v>
      </c>
      <c r="B231" s="10" t="s">
        <v>161</v>
      </c>
      <c r="C231" t="str">
        <f t="shared" si="3"/>
        <v xml:space="preserve">12633 Leporillus sp.  </v>
      </c>
      <c r="D231" s="2">
        <v>126.38055490359483</v>
      </c>
      <c r="E231" s="2">
        <v>-26.831950495181164</v>
      </c>
    </row>
    <row r="232" spans="1:5">
      <c r="A232" s="8">
        <v>12648</v>
      </c>
      <c r="B232" s="10" t="s">
        <v>161</v>
      </c>
      <c r="C232" t="str">
        <f t="shared" si="3"/>
        <v xml:space="preserve">12648 Leporillus sp.  </v>
      </c>
      <c r="D232" s="2">
        <v>126.41666396185445</v>
      </c>
      <c r="E232" s="2">
        <v>-27.066667236916281</v>
      </c>
    </row>
    <row r="233" spans="1:5">
      <c r="A233" s="8">
        <v>12647</v>
      </c>
      <c r="B233" s="10" t="s">
        <v>161</v>
      </c>
      <c r="C233" t="str">
        <f t="shared" si="3"/>
        <v xml:space="preserve">12647 Leporillus sp.  </v>
      </c>
      <c r="D233" s="2">
        <v>126.43332604726986</v>
      </c>
      <c r="E233" s="2">
        <v>-27.23333947293402</v>
      </c>
    </row>
    <row r="234" spans="1:5">
      <c r="A234" s="8">
        <v>12636</v>
      </c>
      <c r="B234" s="10" t="s">
        <v>161</v>
      </c>
      <c r="C234" t="str">
        <f t="shared" si="3"/>
        <v xml:space="preserve">12636 Leporillus sp.  </v>
      </c>
      <c r="D234" s="2">
        <v>126.44999352967021</v>
      </c>
      <c r="E234" s="2">
        <v>-26.758333987917265</v>
      </c>
    </row>
    <row r="235" spans="1:5">
      <c r="A235" s="8">
        <v>12637</v>
      </c>
      <c r="B235" s="10" t="s">
        <v>161</v>
      </c>
      <c r="C235" t="str">
        <f t="shared" si="3"/>
        <v xml:space="preserve">12637 Leporillus sp.  </v>
      </c>
      <c r="D235" s="2">
        <v>126.46665954275694</v>
      </c>
      <c r="E235" s="2">
        <v>-26.666673118023041</v>
      </c>
    </row>
    <row r="236" spans="1:5">
      <c r="A236" s="8">
        <v>12634</v>
      </c>
      <c r="B236" s="10" t="s">
        <v>161</v>
      </c>
      <c r="C236" t="str">
        <f t="shared" si="3"/>
        <v xml:space="preserve">12634 Leporillus sp.  </v>
      </c>
      <c r="D236" s="2">
        <v>126.48332694917048</v>
      </c>
      <c r="E236" s="2">
        <v>-27.166672639859293</v>
      </c>
    </row>
    <row r="237" spans="1:5">
      <c r="A237" s="8">
        <v>12682</v>
      </c>
      <c r="B237" s="10" t="s">
        <v>161</v>
      </c>
      <c r="C237" t="str">
        <f t="shared" si="3"/>
        <v xml:space="preserve">12682 Leporillus sp.  </v>
      </c>
      <c r="D237" s="2">
        <v>126.53332732470653</v>
      </c>
      <c r="E237" s="2">
        <v>-26.600004453533963</v>
      </c>
    </row>
    <row r="238" spans="1:5">
      <c r="A238" s="8">
        <v>12630</v>
      </c>
      <c r="B238" s="10" t="s">
        <v>161</v>
      </c>
      <c r="C238" t="str">
        <f t="shared" si="3"/>
        <v xml:space="preserve">12630 Leporillus sp.  </v>
      </c>
      <c r="D238" s="2">
        <v>127.39999046266061</v>
      </c>
      <c r="E238" s="2">
        <v>-25.800006733827765</v>
      </c>
    </row>
    <row r="239" spans="1:5">
      <c r="A239" s="8">
        <v>12734</v>
      </c>
      <c r="B239" s="10" t="s">
        <v>161</v>
      </c>
      <c r="C239" t="str">
        <f t="shared" si="3"/>
        <v xml:space="preserve">12734 Leporillus sp.  </v>
      </c>
      <c r="D239" s="2">
        <v>127.43333074617051</v>
      </c>
      <c r="E239" s="2">
        <v>-26.183335833102536</v>
      </c>
    </row>
    <row r="240" spans="1:5">
      <c r="A240" s="1" t="str">
        <f>FossilMiddens!A52</f>
        <v>CAA04</v>
      </c>
      <c r="B240" s="1" t="s">
        <v>161</v>
      </c>
      <c r="C240" t="str">
        <f t="shared" si="3"/>
        <v xml:space="preserve">CAA04 Leporillus sp.  </v>
      </c>
      <c r="D240" s="5">
        <f>FossilMiddens!H52</f>
        <v>127.91333333333334</v>
      </c>
      <c r="E240" s="5">
        <f>FossilMiddens!I52</f>
        <v>-26.158333333333331</v>
      </c>
    </row>
    <row r="241" spans="1:7">
      <c r="A241" s="8">
        <v>12680</v>
      </c>
      <c r="B241" s="10" t="s">
        <v>161</v>
      </c>
      <c r="C241" t="str">
        <f t="shared" si="3"/>
        <v xml:space="preserve">12680 Leporillus sp.  </v>
      </c>
      <c r="D241" s="2">
        <v>128.96666111051076</v>
      </c>
      <c r="E241" s="2">
        <v>-28.750002343816011</v>
      </c>
    </row>
    <row r="242" spans="1:7">
      <c r="A242" s="8">
        <v>12602</v>
      </c>
      <c r="B242" s="10" t="s">
        <v>161</v>
      </c>
      <c r="C242" t="str">
        <f t="shared" si="3"/>
        <v xml:space="preserve">12602 Leporillus sp.  </v>
      </c>
      <c r="D242" s="2">
        <v>129.18333293449439</v>
      </c>
      <c r="E242" s="2">
        <v>-28.916667066488106</v>
      </c>
    </row>
    <row r="243" spans="1:7">
      <c r="A243" s="8">
        <v>12591</v>
      </c>
      <c r="B243" s="10" t="s">
        <v>161</v>
      </c>
      <c r="C243" t="str">
        <f t="shared" si="3"/>
        <v xml:space="preserve">12591 Leporillus sp.  </v>
      </c>
      <c r="D243" s="2">
        <v>129.35832633238536</v>
      </c>
      <c r="E243" s="2">
        <v>-25.916673774814594</v>
      </c>
    </row>
    <row r="244" spans="1:7">
      <c r="A244" s="8">
        <v>12605</v>
      </c>
      <c r="B244" s="10" t="s">
        <v>161</v>
      </c>
      <c r="C244" t="str">
        <f t="shared" si="3"/>
        <v xml:space="preserve">12605 Leporillus sp.  </v>
      </c>
      <c r="D244" s="2">
        <v>129.99999587618385</v>
      </c>
      <c r="E244" s="2">
        <v>-31.366675679256065</v>
      </c>
    </row>
    <row r="245" spans="1:7">
      <c r="A245" s="8">
        <v>12730</v>
      </c>
      <c r="B245" s="10" t="s">
        <v>161</v>
      </c>
      <c r="C245" t="str">
        <f t="shared" si="3"/>
        <v xml:space="preserve">12730 Leporillus sp.  </v>
      </c>
      <c r="D245" s="2">
        <v>130.44999821321514</v>
      </c>
      <c r="E245" s="2">
        <v>-26.450008358447572</v>
      </c>
    </row>
    <row r="246" spans="1:7">
      <c r="A246" s="8">
        <v>12606</v>
      </c>
      <c r="B246" s="10" t="s">
        <v>161</v>
      </c>
      <c r="C246" t="str">
        <f t="shared" si="3"/>
        <v xml:space="preserve">12606 Leporillus sp.  </v>
      </c>
      <c r="D246" s="2">
        <v>130.7083308667593</v>
      </c>
      <c r="E246" s="2">
        <v>-31.323619340093831</v>
      </c>
    </row>
    <row r="247" spans="1:7">
      <c r="A247" s="8">
        <v>12668</v>
      </c>
      <c r="B247" s="10" t="s">
        <v>161</v>
      </c>
      <c r="C247" t="str">
        <f t="shared" si="3"/>
        <v xml:space="preserve">12668 Leporillus sp.  </v>
      </c>
      <c r="D247" s="2">
        <v>130.71665976135665</v>
      </c>
      <c r="E247" s="2">
        <v>-31.322227246634359</v>
      </c>
    </row>
    <row r="248" spans="1:7">
      <c r="A248" s="8">
        <v>12669</v>
      </c>
      <c r="B248" s="10" t="s">
        <v>161</v>
      </c>
      <c r="C248" t="str">
        <f t="shared" si="3"/>
        <v xml:space="preserve">12669 Leporillus sp.  </v>
      </c>
      <c r="D248" s="2">
        <v>130.74165925441031</v>
      </c>
      <c r="E248" s="2">
        <v>-31.202778636990612</v>
      </c>
    </row>
    <row r="249" spans="1:7">
      <c r="A249" s="8">
        <v>12667</v>
      </c>
      <c r="B249" s="10" t="s">
        <v>161</v>
      </c>
      <c r="C249" t="str">
        <f t="shared" si="3"/>
        <v>12667 Leporillus sp.   Pinnacles Station</v>
      </c>
      <c r="D249" s="2">
        <v>130.86526907670699</v>
      </c>
      <c r="E249" s="2">
        <v>-31.366672285473722</v>
      </c>
      <c r="G249" t="s">
        <v>764</v>
      </c>
    </row>
    <row r="250" spans="1:7">
      <c r="A250" s="8">
        <v>12672</v>
      </c>
      <c r="B250" s="10" t="s">
        <v>161</v>
      </c>
      <c r="C250" t="str">
        <f t="shared" si="3"/>
        <v xml:space="preserve">12672 Leporillus sp.  </v>
      </c>
      <c r="D250" s="2">
        <v>131.037496136968</v>
      </c>
      <c r="E250" s="2">
        <v>-31.248612038045145</v>
      </c>
    </row>
    <row r="251" spans="1:7">
      <c r="A251" s="8">
        <v>12670</v>
      </c>
      <c r="B251" s="10" t="s">
        <v>161</v>
      </c>
      <c r="C251" t="str">
        <f t="shared" si="3"/>
        <v xml:space="preserve">12670 Leporillus sp.  </v>
      </c>
      <c r="D251" s="2">
        <v>131.04721791516886</v>
      </c>
      <c r="E251" s="2">
        <v>-31.155558249132323</v>
      </c>
    </row>
    <row r="252" spans="1:7">
      <c r="A252" s="8">
        <v>12665</v>
      </c>
      <c r="B252" s="10" t="s">
        <v>161</v>
      </c>
      <c r="C252" t="str">
        <f t="shared" si="3"/>
        <v xml:space="preserve">12665 Leporillus sp.  </v>
      </c>
      <c r="D252" s="2">
        <v>131.07222127231648</v>
      </c>
      <c r="E252" s="2">
        <v>-31.294446991551716</v>
      </c>
    </row>
    <row r="253" spans="1:7">
      <c r="A253" s="8">
        <v>12666</v>
      </c>
      <c r="B253" s="10" t="s">
        <v>161</v>
      </c>
      <c r="C253" t="str">
        <f t="shared" si="3"/>
        <v xml:space="preserve">12666 Leporillus sp.  </v>
      </c>
      <c r="D253" s="2">
        <v>131.38333078643194</v>
      </c>
      <c r="E253" s="2">
        <v>-31.027786226829548</v>
      </c>
    </row>
    <row r="254" spans="1:7">
      <c r="A254" s="8">
        <v>12671</v>
      </c>
      <c r="B254" s="10" t="s">
        <v>161</v>
      </c>
      <c r="C254" t="str">
        <f t="shared" si="3"/>
        <v xml:space="preserve">12671 Leporillus sp.  </v>
      </c>
      <c r="D254" s="2">
        <v>131.38333305432221</v>
      </c>
      <c r="E254" s="2">
        <v>-31.033342176843497</v>
      </c>
    </row>
    <row r="255" spans="1:7">
      <c r="A255" s="1" t="str">
        <f>FossilMiddens!A18</f>
        <v>Berry (1993)</v>
      </c>
      <c r="B255" s="1" t="s">
        <v>161</v>
      </c>
      <c r="C255" t="str">
        <f t="shared" si="3"/>
        <v xml:space="preserve">Berry (1993) Leporillus sp.  </v>
      </c>
      <c r="D255" s="5">
        <f>FossilMiddens!H18</f>
        <v>131.68333333333334</v>
      </c>
      <c r="E255" s="5">
        <f>FossilMiddens!I18</f>
        <v>-24.316666666666666</v>
      </c>
    </row>
    <row r="256" spans="1:7">
      <c r="A256" s="1" t="str">
        <f>FossilMiddens!A19</f>
        <v>Berry (1993)</v>
      </c>
      <c r="B256" s="1" t="s">
        <v>161</v>
      </c>
      <c r="C256" t="str">
        <f t="shared" si="3"/>
        <v xml:space="preserve">Berry (1993) Leporillus sp.  </v>
      </c>
      <c r="D256" s="5">
        <f>FossilMiddens!H19</f>
        <v>131.68333333333334</v>
      </c>
      <c r="E256" s="5">
        <f>FossilMiddens!I19</f>
        <v>-24.316666666666666</v>
      </c>
    </row>
    <row r="257" spans="1:5">
      <c r="A257" s="1" t="str">
        <f>FossilMiddens!A10</f>
        <v>FinkeA22</v>
      </c>
      <c r="B257" s="1" t="s">
        <v>161</v>
      </c>
      <c r="C257" t="str">
        <f t="shared" si="3"/>
        <v xml:space="preserve">FinkeA22 Leporillus sp.  </v>
      </c>
      <c r="D257" s="5">
        <f>FossilMiddens!H10</f>
        <v>132.19999999999999</v>
      </c>
      <c r="E257" s="5">
        <f>FossilMiddens!I10</f>
        <v>-24.433333333333334</v>
      </c>
    </row>
    <row r="258" spans="1:5">
      <c r="A258" s="1" t="str">
        <f>FossilMiddens!A12</f>
        <v>FinkeF4</v>
      </c>
      <c r="B258" s="1" t="s">
        <v>161</v>
      </c>
      <c r="C258" t="str">
        <f t="shared" si="3"/>
        <v xml:space="preserve">FinkeF4 Leporillus sp.  </v>
      </c>
      <c r="D258" s="5">
        <f>FossilMiddens!H12</f>
        <v>132.19999999999999</v>
      </c>
      <c r="E258" s="5">
        <f>FossilMiddens!I12</f>
        <v>-24.433333333333334</v>
      </c>
    </row>
    <row r="259" spans="1:5">
      <c r="A259" s="1" t="str">
        <f>FossilMiddens!A8</f>
        <v>FinkeG15</v>
      </c>
      <c r="B259" s="1" t="s">
        <v>161</v>
      </c>
      <c r="C259" t="str">
        <f t="shared" ref="C259:C322" si="4">A259&amp;" "&amp;B259&amp;" "&amp;F259&amp;" "&amp;G259</f>
        <v xml:space="preserve">FinkeG15 Leporillus sp.  </v>
      </c>
      <c r="D259" s="5">
        <f>FossilMiddens!H8</f>
        <v>132.19999999999999</v>
      </c>
      <c r="E259" s="5">
        <f>FossilMiddens!I8</f>
        <v>-24.433333333333334</v>
      </c>
    </row>
    <row r="260" spans="1:5">
      <c r="A260" s="1" t="str">
        <f>FossilMiddens!A11</f>
        <v>FinkeH19</v>
      </c>
      <c r="B260" s="1" t="s">
        <v>161</v>
      </c>
      <c r="C260" t="str">
        <f t="shared" si="4"/>
        <v xml:space="preserve">FinkeH19 Leporillus sp.  </v>
      </c>
      <c r="D260" s="5">
        <f>FossilMiddens!H11</f>
        <v>132.19999999999999</v>
      </c>
      <c r="E260" s="5">
        <f>FossilMiddens!I11</f>
        <v>-24.433333333333334</v>
      </c>
    </row>
    <row r="261" spans="1:5">
      <c r="A261" s="1" t="str">
        <f>FossilMiddens!A9</f>
        <v>FinkeI16</v>
      </c>
      <c r="B261" s="1" t="s">
        <v>161</v>
      </c>
      <c r="C261" t="str">
        <f t="shared" si="4"/>
        <v xml:space="preserve">FinkeI16 Leporillus sp.  </v>
      </c>
      <c r="D261" s="5">
        <f>FossilMiddens!H9</f>
        <v>132.19999999999999</v>
      </c>
      <c r="E261" s="5">
        <f>FossilMiddens!I9</f>
        <v>-24.433333333333334</v>
      </c>
    </row>
    <row r="262" spans="1:5">
      <c r="A262" s="1">
        <v>12600</v>
      </c>
      <c r="B262" s="1" t="s">
        <v>161</v>
      </c>
      <c r="C262" t="str">
        <f t="shared" si="4"/>
        <v xml:space="preserve">12600 Leporillus sp.  </v>
      </c>
      <c r="D262" s="5">
        <v>132.43332799999999</v>
      </c>
      <c r="E262" s="5">
        <v>-27.033334</v>
      </c>
    </row>
    <row r="263" spans="1:5">
      <c r="A263" s="1" t="str">
        <f>FossilMiddens!A14</f>
        <v xml:space="preserve">Nelson et al (1990) , </v>
      </c>
      <c r="B263" s="1" t="s">
        <v>161</v>
      </c>
      <c r="C263" t="str">
        <f t="shared" si="4"/>
        <v xml:space="preserve">Nelson et al (1990) ,  Leporillus sp.  </v>
      </c>
      <c r="D263" s="5">
        <f>FossilMiddens!H14</f>
        <v>133</v>
      </c>
      <c r="E263" s="5">
        <f>FossilMiddens!I14</f>
        <v>-24</v>
      </c>
    </row>
    <row r="264" spans="1:5">
      <c r="A264" s="1" t="str">
        <f>FossilMiddens!A15</f>
        <v xml:space="preserve">Nelson et al (1990) , </v>
      </c>
      <c r="B264" s="1" t="s">
        <v>161</v>
      </c>
      <c r="C264" t="str">
        <f t="shared" si="4"/>
        <v xml:space="preserve">Nelson et al (1990) ,  Leporillus sp.  </v>
      </c>
      <c r="D264" s="5">
        <f>FossilMiddens!H15</f>
        <v>133</v>
      </c>
      <c r="E264" s="5">
        <f>FossilMiddens!I15</f>
        <v>-24</v>
      </c>
    </row>
    <row r="265" spans="1:5">
      <c r="A265" s="1">
        <v>12570</v>
      </c>
      <c r="B265" s="1" t="s">
        <v>161</v>
      </c>
      <c r="C265" t="str">
        <f t="shared" si="4"/>
        <v xml:space="preserve">12570 Leporillus sp.  </v>
      </c>
      <c r="D265" s="5">
        <v>133.249999</v>
      </c>
      <c r="E265" s="5">
        <v>-26.583338999999999</v>
      </c>
    </row>
    <row r="266" spans="1:5">
      <c r="A266" s="1">
        <v>12617</v>
      </c>
      <c r="B266" s="1" t="s">
        <v>161</v>
      </c>
      <c r="C266" t="str">
        <f t="shared" si="4"/>
        <v xml:space="preserve">12617 Leporillus sp.  </v>
      </c>
      <c r="D266" s="5">
        <v>133.26666499999999</v>
      </c>
      <c r="E266" s="5">
        <v>-26.566672000000001</v>
      </c>
    </row>
    <row r="267" spans="1:5">
      <c r="A267" s="1">
        <v>12616</v>
      </c>
      <c r="B267" s="1" t="s">
        <v>161</v>
      </c>
      <c r="C267" t="str">
        <f t="shared" si="4"/>
        <v xml:space="preserve">12616 Leporillus sp.  </v>
      </c>
      <c r="D267" s="5">
        <v>133.44999899999999</v>
      </c>
      <c r="E267" s="5">
        <v>-26.983335</v>
      </c>
    </row>
    <row r="268" spans="1:5">
      <c r="A268" s="1" t="str">
        <f>FossilMiddens!A53</f>
        <v>GRD12</v>
      </c>
      <c r="B268" s="1" t="s">
        <v>161</v>
      </c>
      <c r="C268" t="str">
        <f t="shared" si="4"/>
        <v xml:space="preserve">GRD12 Leporillus sp.  </v>
      </c>
      <c r="D268" s="5">
        <f>FossilMiddens!H53</f>
        <v>133.4986111111111</v>
      </c>
      <c r="E268" s="5">
        <f>FossilMiddens!I53</f>
        <v>-26.953055555555554</v>
      </c>
    </row>
    <row r="269" spans="1:5">
      <c r="A269" s="1">
        <v>12618</v>
      </c>
      <c r="B269" s="1" t="s">
        <v>161</v>
      </c>
      <c r="C269" t="str">
        <f t="shared" si="4"/>
        <v xml:space="preserve">12618 Leporillus sp.  </v>
      </c>
      <c r="D269" s="5">
        <v>133.508332</v>
      </c>
      <c r="E269" s="5">
        <v>-26.950005999999998</v>
      </c>
    </row>
    <row r="270" spans="1:5">
      <c r="A270" s="1">
        <v>12620</v>
      </c>
      <c r="B270" s="1" t="s">
        <v>161</v>
      </c>
      <c r="C270" t="str">
        <f t="shared" si="4"/>
        <v xml:space="preserve">12620 Leporillus sp.  </v>
      </c>
      <c r="D270" s="5">
        <v>133.74999099999999</v>
      </c>
      <c r="E270" s="5">
        <v>-26.950008</v>
      </c>
    </row>
    <row r="271" spans="1:5">
      <c r="A271" s="1">
        <v>12619</v>
      </c>
      <c r="B271" s="1" t="s">
        <v>161</v>
      </c>
      <c r="C271" t="str">
        <f t="shared" si="4"/>
        <v xml:space="preserve">12619 Leporillus sp.  </v>
      </c>
      <c r="D271" s="5">
        <v>133.774991</v>
      </c>
      <c r="E271" s="5">
        <v>-26.041671999999998</v>
      </c>
    </row>
    <row r="272" spans="1:5">
      <c r="A272" s="1">
        <v>12588</v>
      </c>
      <c r="B272" s="1" t="s">
        <v>161</v>
      </c>
      <c r="C272" t="str">
        <f t="shared" si="4"/>
        <v xml:space="preserve">12588 Leporillus sp.  </v>
      </c>
      <c r="D272" s="5">
        <v>133.89999800000001</v>
      </c>
      <c r="E272" s="5">
        <v>-25.800008999999999</v>
      </c>
    </row>
    <row r="273" spans="1:6">
      <c r="A273" s="1">
        <v>12638</v>
      </c>
      <c r="B273" s="1" t="s">
        <v>161</v>
      </c>
      <c r="C273" t="str">
        <f t="shared" si="4"/>
        <v xml:space="preserve">12638 Leporillus sp.  </v>
      </c>
      <c r="D273" s="5">
        <v>133.89999800000001</v>
      </c>
      <c r="E273" s="5">
        <v>-25.891670999999999</v>
      </c>
    </row>
    <row r="274" spans="1:6">
      <c r="A274" s="1">
        <v>12639</v>
      </c>
      <c r="B274" s="1" t="s">
        <v>161</v>
      </c>
      <c r="C274" t="str">
        <f t="shared" si="4"/>
        <v xml:space="preserve">12639 Leporillus sp.  </v>
      </c>
      <c r="D274" s="5">
        <v>133.94999200000001</v>
      </c>
      <c r="E274" s="5">
        <v>-25.883337000000001</v>
      </c>
    </row>
    <row r="275" spans="1:6">
      <c r="A275" s="1">
        <v>12640</v>
      </c>
      <c r="B275" s="1" t="s">
        <v>161</v>
      </c>
      <c r="C275" t="str">
        <f t="shared" si="4"/>
        <v xml:space="preserve">12640 Leporillus sp.  </v>
      </c>
      <c r="D275" s="5">
        <v>134.07499300000001</v>
      </c>
      <c r="E275" s="5">
        <v>-25.958335999999999</v>
      </c>
    </row>
    <row r="276" spans="1:6">
      <c r="A276" s="1">
        <v>12697</v>
      </c>
      <c r="B276" s="1" t="s">
        <v>161</v>
      </c>
      <c r="C276" t="str">
        <f t="shared" si="4"/>
        <v xml:space="preserve">12697 Leporillus sp.  </v>
      </c>
      <c r="D276" s="5">
        <v>134.083327</v>
      </c>
      <c r="E276" s="5">
        <v>-28.166668999999999</v>
      </c>
    </row>
    <row r="277" spans="1:6">
      <c r="A277" s="1">
        <v>12610</v>
      </c>
      <c r="B277" s="1" t="s">
        <v>161</v>
      </c>
      <c r="C277" t="str">
        <f t="shared" si="4"/>
        <v xml:space="preserve">12610 Leporillus sp.  Shark Bay </v>
      </c>
      <c r="D277" s="5">
        <v>134.166662</v>
      </c>
      <c r="E277" s="5">
        <v>-27.966674999999999</v>
      </c>
      <c r="F277" t="s">
        <v>776</v>
      </c>
    </row>
    <row r="278" spans="1:6">
      <c r="A278" s="1">
        <v>12609</v>
      </c>
      <c r="B278" s="1" t="s">
        <v>161</v>
      </c>
      <c r="C278" t="str">
        <f t="shared" si="4"/>
        <v xml:space="preserve">12609 Leporillus sp.  </v>
      </c>
      <c r="D278" s="5">
        <v>134.18332599999999</v>
      </c>
      <c r="E278" s="5">
        <v>-27.966674999999999</v>
      </c>
    </row>
    <row r="279" spans="1:6">
      <c r="A279" s="1" t="str">
        <f>FossilMiddens!A26</f>
        <v>USA127</v>
      </c>
      <c r="B279" s="1" t="s">
        <v>161</v>
      </c>
      <c r="C279" t="str">
        <f t="shared" si="4"/>
        <v xml:space="preserve">USA127 Leporillus sp.  </v>
      </c>
      <c r="D279" s="5">
        <f>FossilMiddens!H26</f>
        <v>134.19833333333332</v>
      </c>
      <c r="E279" s="5">
        <f>FossilMiddens!I26</f>
        <v>-25.83</v>
      </c>
    </row>
    <row r="280" spans="1:6">
      <c r="A280" s="1" t="str">
        <f>FossilMiddens!A27</f>
        <v>USA131</v>
      </c>
      <c r="B280" s="1" t="s">
        <v>161</v>
      </c>
      <c r="C280" t="str">
        <f t="shared" si="4"/>
        <v xml:space="preserve">USA131 Leporillus sp.  </v>
      </c>
      <c r="D280" s="5">
        <f>FossilMiddens!H27</f>
        <v>134.19833333333332</v>
      </c>
      <c r="E280" s="5">
        <f>FossilMiddens!I27</f>
        <v>-25.83</v>
      </c>
    </row>
    <row r="281" spans="1:6">
      <c r="A281" s="1" t="str">
        <f>FossilMiddens!A28</f>
        <v>USA16</v>
      </c>
      <c r="B281" s="1" t="s">
        <v>161</v>
      </c>
      <c r="C281" t="str">
        <f t="shared" si="4"/>
        <v xml:space="preserve">USA16 Leporillus sp.  </v>
      </c>
      <c r="D281" s="5">
        <f>FossilMiddens!H28</f>
        <v>134.19833333333332</v>
      </c>
      <c r="E281" s="5">
        <f>FossilMiddens!I28</f>
        <v>-25.83</v>
      </c>
    </row>
    <row r="282" spans="1:6">
      <c r="A282" s="1" t="str">
        <f>FossilMiddens!A29</f>
        <v>USA22</v>
      </c>
      <c r="B282" s="1" t="s">
        <v>161</v>
      </c>
      <c r="C282" t="str">
        <f t="shared" si="4"/>
        <v xml:space="preserve">USA22 Leporillus sp.  </v>
      </c>
      <c r="D282" s="5">
        <f>FossilMiddens!H29</f>
        <v>134.19833333333332</v>
      </c>
      <c r="E282" s="5">
        <f>FossilMiddens!I29</f>
        <v>-25.83</v>
      </c>
    </row>
    <row r="283" spans="1:6">
      <c r="A283" s="1" t="str">
        <f>FossilMiddens!A30</f>
        <v>USB10</v>
      </c>
      <c r="B283" s="1" t="s">
        <v>161</v>
      </c>
      <c r="C283" t="str">
        <f t="shared" si="4"/>
        <v xml:space="preserve">USB10 Leporillus sp.  </v>
      </c>
      <c r="D283" s="5">
        <f>FossilMiddens!H30</f>
        <v>134.19833333333332</v>
      </c>
      <c r="E283" s="5">
        <f>FossilMiddens!I30</f>
        <v>-25.83</v>
      </c>
    </row>
    <row r="284" spans="1:6">
      <c r="A284" s="1" t="str">
        <f>FossilMiddens!A31</f>
        <v>USB10</v>
      </c>
      <c r="B284" s="1" t="s">
        <v>161</v>
      </c>
      <c r="C284" t="str">
        <f t="shared" si="4"/>
        <v xml:space="preserve">USB10 Leporillus sp.  </v>
      </c>
      <c r="D284" s="5">
        <f>FossilMiddens!H31</f>
        <v>134.19833333333332</v>
      </c>
      <c r="E284" s="5">
        <f>FossilMiddens!I31</f>
        <v>-25.83</v>
      </c>
    </row>
    <row r="285" spans="1:6">
      <c r="A285" s="1" t="str">
        <f>FossilMiddens!A32</f>
        <v>USB11</v>
      </c>
      <c r="B285" s="1" t="s">
        <v>161</v>
      </c>
      <c r="C285" t="str">
        <f t="shared" si="4"/>
        <v xml:space="preserve">USB11 Leporillus sp.  </v>
      </c>
      <c r="D285" s="5">
        <f>FossilMiddens!H32</f>
        <v>134.19833333333332</v>
      </c>
      <c r="E285" s="5">
        <f>FossilMiddens!I32</f>
        <v>-25.83</v>
      </c>
    </row>
    <row r="286" spans="1:6">
      <c r="A286" s="1" t="str">
        <f>FossilMiddens!A33</f>
        <v>USB13</v>
      </c>
      <c r="B286" s="1" t="s">
        <v>161</v>
      </c>
      <c r="C286" t="str">
        <f t="shared" si="4"/>
        <v xml:space="preserve">USB13 Leporillus sp.  </v>
      </c>
      <c r="D286" s="5">
        <f>FossilMiddens!H33</f>
        <v>134.19833333333332</v>
      </c>
      <c r="E286" s="5">
        <f>FossilMiddens!I33</f>
        <v>-25.83</v>
      </c>
    </row>
    <row r="287" spans="1:6">
      <c r="A287" s="1" t="str">
        <f>FossilMiddens!A34</f>
        <v>USC191</v>
      </c>
      <c r="B287" s="1" t="s">
        <v>161</v>
      </c>
      <c r="C287" t="str">
        <f t="shared" si="4"/>
        <v xml:space="preserve">USC191 Leporillus sp.  </v>
      </c>
      <c r="D287" s="5">
        <f>FossilMiddens!H34</f>
        <v>134.19833333333332</v>
      </c>
      <c r="E287" s="5">
        <f>FossilMiddens!I34</f>
        <v>-25.83</v>
      </c>
    </row>
    <row r="288" spans="1:6">
      <c r="A288" s="1" t="str">
        <f>FossilMiddens!A35</f>
        <v>USC31</v>
      </c>
      <c r="B288" s="1" t="s">
        <v>161</v>
      </c>
      <c r="C288" t="str">
        <f t="shared" si="4"/>
        <v xml:space="preserve">USC31 Leporillus sp.  </v>
      </c>
      <c r="D288" s="5">
        <f>FossilMiddens!H35</f>
        <v>134.19833333333332</v>
      </c>
      <c r="E288" s="5">
        <f>FossilMiddens!I35</f>
        <v>-25.83</v>
      </c>
    </row>
    <row r="289" spans="1:5">
      <c r="A289" s="1" t="str">
        <f>FossilMiddens!A36</f>
        <v>USC39</v>
      </c>
      <c r="B289" s="1" t="s">
        <v>161</v>
      </c>
      <c r="C289" t="str">
        <f t="shared" si="4"/>
        <v xml:space="preserve">USC39 Leporillus sp.  </v>
      </c>
      <c r="D289" s="5">
        <f>FossilMiddens!H36</f>
        <v>134.19833333333332</v>
      </c>
      <c r="E289" s="5">
        <f>FossilMiddens!I36</f>
        <v>-25.83</v>
      </c>
    </row>
    <row r="290" spans="1:5">
      <c r="A290" s="1" t="str">
        <f>FossilMiddens!A37</f>
        <v>USC89</v>
      </c>
      <c r="B290" s="1" t="s">
        <v>161</v>
      </c>
      <c r="C290" t="str">
        <f t="shared" si="4"/>
        <v xml:space="preserve">USC89 Leporillus sp.  </v>
      </c>
      <c r="D290" s="5">
        <f>FossilMiddens!H37</f>
        <v>134.19833333333332</v>
      </c>
      <c r="E290" s="5">
        <f>FossilMiddens!I37</f>
        <v>-25.83</v>
      </c>
    </row>
    <row r="291" spans="1:5">
      <c r="A291" s="1" t="str">
        <f>FossilMiddens!A38</f>
        <v>USC99</v>
      </c>
      <c r="B291" s="1" t="s">
        <v>161</v>
      </c>
      <c r="C291" t="str">
        <f t="shared" si="4"/>
        <v xml:space="preserve">USC99 Leporillus sp.  </v>
      </c>
      <c r="D291" s="5">
        <f>FossilMiddens!H38</f>
        <v>134.19833333333332</v>
      </c>
      <c r="E291" s="5">
        <f>FossilMiddens!I38</f>
        <v>-25.83</v>
      </c>
    </row>
    <row r="292" spans="1:5">
      <c r="A292" s="1" t="str">
        <f>FossilMiddens!A39</f>
        <v>USE72</v>
      </c>
      <c r="B292" s="1" t="s">
        <v>161</v>
      </c>
      <c r="C292" t="str">
        <f t="shared" si="4"/>
        <v xml:space="preserve">USE72 Leporillus sp.  </v>
      </c>
      <c r="D292" s="5">
        <f>FossilMiddens!H39</f>
        <v>134.19833333333332</v>
      </c>
      <c r="E292" s="5">
        <f>FossilMiddens!I39</f>
        <v>-25.83</v>
      </c>
    </row>
    <row r="293" spans="1:5">
      <c r="A293" s="1" t="str">
        <f>FossilMiddens!A40</f>
        <v>USF06</v>
      </c>
      <c r="B293" s="1" t="s">
        <v>161</v>
      </c>
      <c r="C293" t="str">
        <f t="shared" si="4"/>
        <v xml:space="preserve">USF06 Leporillus sp.  </v>
      </c>
      <c r="D293" s="5">
        <f>FossilMiddens!H40</f>
        <v>134.19833333333332</v>
      </c>
      <c r="E293" s="5">
        <f>FossilMiddens!I40</f>
        <v>-25.83</v>
      </c>
    </row>
    <row r="294" spans="1:5">
      <c r="A294" s="1" t="str">
        <f>FossilMiddens!A41</f>
        <v>USG22</v>
      </c>
      <c r="B294" s="1" t="s">
        <v>161</v>
      </c>
      <c r="C294" t="str">
        <f t="shared" si="4"/>
        <v xml:space="preserve">USG22 Leporillus sp.  </v>
      </c>
      <c r="D294" s="5">
        <f>FossilMiddens!H41</f>
        <v>134.19833333333332</v>
      </c>
      <c r="E294" s="5">
        <f>FossilMiddens!I41</f>
        <v>-25.83</v>
      </c>
    </row>
    <row r="295" spans="1:5">
      <c r="A295" s="1" t="str">
        <f>FossilMiddens!A42</f>
        <v>USI76</v>
      </c>
      <c r="B295" s="1" t="s">
        <v>161</v>
      </c>
      <c r="C295" t="str">
        <f t="shared" si="4"/>
        <v xml:space="preserve">USI76 Leporillus sp.  </v>
      </c>
      <c r="D295" s="5">
        <f>FossilMiddens!H42</f>
        <v>134.19833333333332</v>
      </c>
      <c r="E295" s="5">
        <f>FossilMiddens!I42</f>
        <v>-25.83</v>
      </c>
    </row>
    <row r="296" spans="1:5">
      <c r="A296" s="1" t="str">
        <f>FossilMiddens!A43</f>
        <v>USJ7</v>
      </c>
      <c r="B296" s="1" t="s">
        <v>161</v>
      </c>
      <c r="C296" t="str">
        <f t="shared" si="4"/>
        <v xml:space="preserve">USJ7 Leporillus sp.  </v>
      </c>
      <c r="D296" s="5">
        <f>FossilMiddens!H43</f>
        <v>134.19833333333332</v>
      </c>
      <c r="E296" s="5">
        <f>FossilMiddens!I43</f>
        <v>-25.83</v>
      </c>
    </row>
    <row r="297" spans="1:5">
      <c r="A297" s="1" t="str">
        <f>FossilMiddens!A44</f>
        <v>USK14</v>
      </c>
      <c r="B297" s="1" t="s">
        <v>161</v>
      </c>
      <c r="C297" t="str">
        <f t="shared" si="4"/>
        <v xml:space="preserve">USK14 Leporillus sp.  </v>
      </c>
      <c r="D297" s="5">
        <f>FossilMiddens!H44</f>
        <v>134.19833333333332</v>
      </c>
      <c r="E297" s="5">
        <f>FossilMiddens!I44</f>
        <v>-25.83</v>
      </c>
    </row>
    <row r="298" spans="1:5">
      <c r="A298" s="1" t="str">
        <f>FossilMiddens!A45</f>
        <v>USL7</v>
      </c>
      <c r="B298" s="1" t="s">
        <v>161</v>
      </c>
      <c r="C298" t="str">
        <f t="shared" si="4"/>
        <v xml:space="preserve">USL7 Leporillus sp.  </v>
      </c>
      <c r="D298" s="5">
        <f>FossilMiddens!H45</f>
        <v>134.19833333333332</v>
      </c>
      <c r="E298" s="5">
        <f>FossilMiddens!I45</f>
        <v>-25.83</v>
      </c>
    </row>
    <row r="299" spans="1:5">
      <c r="A299" s="1" t="str">
        <f>FossilMiddens!A46</f>
        <v>USM40</v>
      </c>
      <c r="B299" s="1" t="s">
        <v>161</v>
      </c>
      <c r="C299" t="str">
        <f t="shared" si="4"/>
        <v xml:space="preserve">USM40 Leporillus sp.  </v>
      </c>
      <c r="D299" s="5">
        <f>FossilMiddens!H46</f>
        <v>134.19833333333332</v>
      </c>
      <c r="E299" s="5">
        <f>FossilMiddens!I46</f>
        <v>-25.83</v>
      </c>
    </row>
    <row r="300" spans="1:5">
      <c r="A300" s="1" t="str">
        <f>FossilMiddens!A47</f>
        <v>USN104</v>
      </c>
      <c r="B300" s="1" t="s">
        <v>161</v>
      </c>
      <c r="C300" t="str">
        <f t="shared" si="4"/>
        <v xml:space="preserve">USN104 Leporillus sp.  </v>
      </c>
      <c r="D300" s="5">
        <f>FossilMiddens!H47</f>
        <v>134.19833333333332</v>
      </c>
      <c r="E300" s="5">
        <f>FossilMiddens!I47</f>
        <v>-25.83</v>
      </c>
    </row>
    <row r="301" spans="1:5">
      <c r="A301" s="1" t="str">
        <f>FossilMiddens!A48</f>
        <v>USN138</v>
      </c>
      <c r="B301" s="1" t="s">
        <v>161</v>
      </c>
      <c r="C301" t="str">
        <f t="shared" si="4"/>
        <v xml:space="preserve">USN138 Leporillus sp.  </v>
      </c>
      <c r="D301" s="5">
        <f>FossilMiddens!H48</f>
        <v>134.19833333333332</v>
      </c>
      <c r="E301" s="5">
        <f>FossilMiddens!I48</f>
        <v>-25.83</v>
      </c>
    </row>
    <row r="302" spans="1:5">
      <c r="A302" s="1" t="str">
        <f>FossilMiddens!A49</f>
        <v>USN160</v>
      </c>
      <c r="B302" s="1" t="s">
        <v>161</v>
      </c>
      <c r="C302" t="str">
        <f t="shared" si="4"/>
        <v xml:space="preserve">USN160 Leporillus sp.  </v>
      </c>
      <c r="D302" s="5">
        <f>FossilMiddens!H49</f>
        <v>134.19833333333332</v>
      </c>
      <c r="E302" s="5">
        <f>FossilMiddens!I49</f>
        <v>-25.83</v>
      </c>
    </row>
    <row r="303" spans="1:5">
      <c r="A303" s="1" t="str">
        <f>FossilMiddens!A50</f>
        <v>USN279</v>
      </c>
      <c r="B303" s="1" t="s">
        <v>161</v>
      </c>
      <c r="C303" t="str">
        <f t="shared" si="4"/>
        <v xml:space="preserve">USN279 Leporillus sp.  </v>
      </c>
      <c r="D303" s="5">
        <f>FossilMiddens!H50</f>
        <v>134.19833333333332</v>
      </c>
      <c r="E303" s="5">
        <f>FossilMiddens!I50</f>
        <v>-25.83</v>
      </c>
    </row>
    <row r="304" spans="1:5">
      <c r="A304" s="1" t="str">
        <f>FossilMiddens!A51</f>
        <v>USN363</v>
      </c>
      <c r="B304" s="1" t="s">
        <v>161</v>
      </c>
      <c r="C304" t="str">
        <f t="shared" si="4"/>
        <v xml:space="preserve">USN363 Leporillus sp.  </v>
      </c>
      <c r="D304" s="5">
        <f>FossilMiddens!H51</f>
        <v>134.19833333333332</v>
      </c>
      <c r="E304" s="5">
        <f>FossilMiddens!I51</f>
        <v>-25.83</v>
      </c>
    </row>
    <row r="305" spans="1:5">
      <c r="A305" s="1">
        <v>12599</v>
      </c>
      <c r="B305" s="1" t="s">
        <v>161</v>
      </c>
      <c r="C305" t="str">
        <f t="shared" si="4"/>
        <v xml:space="preserve">12599 Leporillus sp.  </v>
      </c>
      <c r="D305" s="5">
        <v>134.208324</v>
      </c>
      <c r="E305" s="5">
        <v>-28.225002</v>
      </c>
    </row>
    <row r="306" spans="1:5">
      <c r="A306" s="1">
        <v>12603</v>
      </c>
      <c r="B306" s="1" t="s">
        <v>161</v>
      </c>
      <c r="C306" t="str">
        <f t="shared" si="4"/>
        <v xml:space="preserve">12603 Leporillus sp.  </v>
      </c>
      <c r="D306" s="5">
        <v>134.24999099999999</v>
      </c>
      <c r="E306" s="5">
        <v>-28.183335</v>
      </c>
    </row>
    <row r="307" spans="1:5">
      <c r="A307" s="1">
        <v>12732</v>
      </c>
      <c r="B307" s="1" t="s">
        <v>161</v>
      </c>
      <c r="C307" t="str">
        <f t="shared" si="4"/>
        <v xml:space="preserve">12732 Leporillus sp.  </v>
      </c>
      <c r="D307" s="5">
        <v>134.24999299999999</v>
      </c>
      <c r="E307" s="5">
        <v>-26.200005000000001</v>
      </c>
    </row>
    <row r="308" spans="1:5">
      <c r="A308" s="1">
        <v>12613</v>
      </c>
      <c r="B308" s="1" t="s">
        <v>161</v>
      </c>
      <c r="C308" t="str">
        <f t="shared" si="4"/>
        <v xml:space="preserve">12613 Leporillus sp.  </v>
      </c>
      <c r="D308" s="5">
        <v>134.25832700000001</v>
      </c>
      <c r="E308" s="5">
        <v>-27.883338999999999</v>
      </c>
    </row>
    <row r="309" spans="1:5">
      <c r="A309" s="1">
        <v>12612</v>
      </c>
      <c r="B309" s="1" t="s">
        <v>161</v>
      </c>
      <c r="C309" t="str">
        <f t="shared" si="4"/>
        <v xml:space="preserve">12612 Leporillus sp.  </v>
      </c>
      <c r="D309" s="5">
        <v>134.26665700000001</v>
      </c>
      <c r="E309" s="5">
        <v>-27.900002000000001</v>
      </c>
    </row>
    <row r="310" spans="1:5">
      <c r="A310" s="1">
        <v>12698</v>
      </c>
      <c r="B310" s="1" t="s">
        <v>161</v>
      </c>
      <c r="C310" t="str">
        <f t="shared" si="4"/>
        <v xml:space="preserve">12698 Leporillus sp.  </v>
      </c>
      <c r="D310" s="5">
        <v>134.26666599999999</v>
      </c>
      <c r="E310" s="5">
        <v>-28.200006999999999</v>
      </c>
    </row>
    <row r="311" spans="1:5">
      <c r="A311" s="1">
        <v>12701</v>
      </c>
      <c r="B311" s="1" t="s">
        <v>161</v>
      </c>
      <c r="C311" t="str">
        <f t="shared" si="4"/>
        <v xml:space="preserve">12701 Leporillus sp.  </v>
      </c>
      <c r="D311" s="5">
        <v>134.26666599999999</v>
      </c>
      <c r="E311" s="5">
        <v>-28.200006999999999</v>
      </c>
    </row>
    <row r="312" spans="1:5">
      <c r="A312" s="1">
        <v>12611</v>
      </c>
      <c r="B312" s="1" t="s">
        <v>161</v>
      </c>
      <c r="C312" t="str">
        <f t="shared" si="4"/>
        <v xml:space="preserve">12611 Leporillus sp.  </v>
      </c>
      <c r="D312" s="5">
        <v>134.28332399999999</v>
      </c>
      <c r="E312" s="5">
        <v>-27.933336000000001</v>
      </c>
    </row>
    <row r="313" spans="1:5">
      <c r="A313" s="1" t="str">
        <f>FossilMiddens!A54</f>
        <v>CHA14</v>
      </c>
      <c r="B313" s="1" t="s">
        <v>161</v>
      </c>
      <c r="C313" t="str">
        <f t="shared" si="4"/>
        <v xml:space="preserve">CHA14 Leporillus sp.  </v>
      </c>
      <c r="D313" s="5">
        <f>FossilMiddens!H54</f>
        <v>134.31722222222223</v>
      </c>
      <c r="E313" s="5">
        <f>FossilMiddens!I54</f>
        <v>-27.885555555555555</v>
      </c>
    </row>
    <row r="314" spans="1:5">
      <c r="A314" s="1" t="str">
        <f>FossilMiddens!A55</f>
        <v>CHA42</v>
      </c>
      <c r="B314" s="1" t="s">
        <v>161</v>
      </c>
      <c r="C314" t="str">
        <f t="shared" si="4"/>
        <v xml:space="preserve">CHA42 Leporillus sp.  </v>
      </c>
      <c r="D314" s="5">
        <f>FossilMiddens!H55</f>
        <v>134.31722222222223</v>
      </c>
      <c r="E314" s="5">
        <f>FossilMiddens!I55</f>
        <v>-27.885555555555555</v>
      </c>
    </row>
    <row r="315" spans="1:5">
      <c r="A315" s="1" t="str">
        <f>FossilMiddens!A56</f>
        <v>CHB15</v>
      </c>
      <c r="B315" s="1" t="s">
        <v>161</v>
      </c>
      <c r="C315" t="str">
        <f t="shared" si="4"/>
        <v xml:space="preserve">CHB15 Leporillus sp.  </v>
      </c>
      <c r="D315" s="5">
        <f>FossilMiddens!H56</f>
        <v>134.31722222222223</v>
      </c>
      <c r="E315" s="5">
        <f>FossilMiddens!I56</f>
        <v>-27.885555555555555</v>
      </c>
    </row>
    <row r="316" spans="1:5">
      <c r="A316" s="1" t="str">
        <f>FossilMiddens!A57</f>
        <v>CHB41</v>
      </c>
      <c r="B316" s="1" t="s">
        <v>161</v>
      </c>
      <c r="C316" t="str">
        <f t="shared" si="4"/>
        <v xml:space="preserve">CHB41 Leporillus sp.  </v>
      </c>
      <c r="D316" s="5">
        <f>FossilMiddens!H57</f>
        <v>134.31722222222223</v>
      </c>
      <c r="E316" s="5">
        <f>FossilMiddens!I57</f>
        <v>-27.885555555555555</v>
      </c>
    </row>
    <row r="317" spans="1:5">
      <c r="A317" s="1" t="str">
        <f>FossilMiddens!A58</f>
        <v>CHC119</v>
      </c>
      <c r="B317" s="1" t="s">
        <v>161</v>
      </c>
      <c r="C317" t="str">
        <f t="shared" si="4"/>
        <v xml:space="preserve">CHC119 Leporillus sp.  </v>
      </c>
      <c r="D317" s="5">
        <f>FossilMiddens!H58</f>
        <v>134.31722222222223</v>
      </c>
      <c r="E317" s="5">
        <f>FossilMiddens!I58</f>
        <v>-27.885555555555555</v>
      </c>
    </row>
    <row r="318" spans="1:5">
      <c r="A318" s="1" t="str">
        <f>FossilMiddens!A59</f>
        <v>CHC22</v>
      </c>
      <c r="B318" s="1" t="s">
        <v>161</v>
      </c>
      <c r="C318" t="str">
        <f t="shared" si="4"/>
        <v xml:space="preserve">CHC22 Leporillus sp.  </v>
      </c>
      <c r="D318" s="5">
        <f>FossilMiddens!H59</f>
        <v>134.31722222222223</v>
      </c>
      <c r="E318" s="5">
        <f>FossilMiddens!I59</f>
        <v>-27.885555555555555</v>
      </c>
    </row>
    <row r="319" spans="1:5">
      <c r="A319" s="1" t="str">
        <f>FossilMiddens!A60</f>
        <v>CHC24</v>
      </c>
      <c r="B319" s="1" t="s">
        <v>161</v>
      </c>
      <c r="C319" t="str">
        <f t="shared" si="4"/>
        <v xml:space="preserve">CHC24 Leporillus sp.  </v>
      </c>
      <c r="D319" s="5">
        <f>FossilMiddens!H60</f>
        <v>134.31722222222223</v>
      </c>
      <c r="E319" s="5">
        <f>FossilMiddens!I60</f>
        <v>-27.885555555555555</v>
      </c>
    </row>
    <row r="320" spans="1:5">
      <c r="A320" s="1" t="str">
        <f>FossilMiddens!A61</f>
        <v>CHC42</v>
      </c>
      <c r="B320" s="1" t="s">
        <v>161</v>
      </c>
      <c r="C320" t="str">
        <f t="shared" si="4"/>
        <v xml:space="preserve">CHC42 Leporillus sp.  </v>
      </c>
      <c r="D320" s="5">
        <f>FossilMiddens!H61</f>
        <v>134.31722222222223</v>
      </c>
      <c r="E320" s="5">
        <f>FossilMiddens!I61</f>
        <v>-27.885555555555555</v>
      </c>
    </row>
    <row r="321" spans="1:5">
      <c r="A321" s="1" t="str">
        <f>FossilMiddens!A62</f>
        <v>CHD17</v>
      </c>
      <c r="B321" s="1" t="s">
        <v>161</v>
      </c>
      <c r="C321" t="str">
        <f t="shared" si="4"/>
        <v xml:space="preserve">CHD17 Leporillus sp.  </v>
      </c>
      <c r="D321" s="5">
        <f>FossilMiddens!H62</f>
        <v>134.31722222222223</v>
      </c>
      <c r="E321" s="5">
        <f>FossilMiddens!I62</f>
        <v>-27.885555555555555</v>
      </c>
    </row>
    <row r="322" spans="1:5">
      <c r="A322" s="1" t="str">
        <f>FossilMiddens!A63</f>
        <v>CHD18</v>
      </c>
      <c r="B322" s="1" t="s">
        <v>161</v>
      </c>
      <c r="C322" t="str">
        <f t="shared" si="4"/>
        <v xml:space="preserve">CHD18 Leporillus sp.  </v>
      </c>
      <c r="D322" s="5">
        <f>FossilMiddens!H63</f>
        <v>134.31722222222223</v>
      </c>
      <c r="E322" s="5">
        <f>FossilMiddens!I63</f>
        <v>-27.885555555555555</v>
      </c>
    </row>
    <row r="323" spans="1:5">
      <c r="A323" s="1">
        <v>12608</v>
      </c>
      <c r="B323" s="1" t="s">
        <v>161</v>
      </c>
      <c r="C323" t="str">
        <f t="shared" ref="C323:C386" si="5">A323&amp;" "&amp;B323&amp;" "&amp;F323&amp;" "&amp;G323</f>
        <v xml:space="preserve">12608 Leporillus sp.  </v>
      </c>
      <c r="D323" s="5">
        <v>134.333326</v>
      </c>
      <c r="E323" s="5">
        <v>-28.025003000000002</v>
      </c>
    </row>
    <row r="324" spans="1:5">
      <c r="A324" s="1">
        <v>12707</v>
      </c>
      <c r="B324" s="1" t="s">
        <v>161</v>
      </c>
      <c r="C324" t="str">
        <f t="shared" si="5"/>
        <v xml:space="preserve">12707 Leporillus sp.  </v>
      </c>
      <c r="D324" s="5">
        <v>134.33333200000001</v>
      </c>
      <c r="E324" s="5">
        <v>-28.533334</v>
      </c>
    </row>
    <row r="325" spans="1:5">
      <c r="A325" s="1" t="str">
        <f>FossilMiddens!A17</f>
        <v>CRA9</v>
      </c>
      <c r="B325" s="1" t="s">
        <v>161</v>
      </c>
      <c r="C325" t="str">
        <f t="shared" si="5"/>
        <v xml:space="preserve">CRA9 Leporillus sp.  </v>
      </c>
      <c r="D325" s="5">
        <f>FossilMiddens!H17</f>
        <v>134.5</v>
      </c>
      <c r="E325" s="5">
        <f>FossilMiddens!I17</f>
        <v>-23.5</v>
      </c>
    </row>
    <row r="326" spans="1:5">
      <c r="A326" s="1">
        <v>107232</v>
      </c>
      <c r="B326" s="1" t="s">
        <v>161</v>
      </c>
      <c r="C326" t="str">
        <f t="shared" si="5"/>
        <v xml:space="preserve">107232 Leporillus sp.  </v>
      </c>
      <c r="D326" s="5">
        <v>134.51948999999999</v>
      </c>
      <c r="E326" s="5">
        <v>-27.387250000000002</v>
      </c>
    </row>
    <row r="327" spans="1:5">
      <c r="A327" s="1">
        <v>12601</v>
      </c>
      <c r="B327" s="1" t="s">
        <v>161</v>
      </c>
      <c r="C327" t="str">
        <f t="shared" si="5"/>
        <v xml:space="preserve">12601 Leporillus sp.  </v>
      </c>
      <c r="D327" s="5">
        <v>134.58332799999999</v>
      </c>
      <c r="E327" s="5">
        <v>-28.800001000000002</v>
      </c>
    </row>
    <row r="328" spans="1:5">
      <c r="A328" s="1">
        <v>12615</v>
      </c>
      <c r="B328" s="1" t="s">
        <v>161</v>
      </c>
      <c r="C328" t="str">
        <f t="shared" si="5"/>
        <v xml:space="preserve">12615 Leporillus sp.  </v>
      </c>
      <c r="D328" s="5">
        <v>134.599997</v>
      </c>
      <c r="E328" s="5">
        <v>-27.700008</v>
      </c>
    </row>
    <row r="329" spans="1:5">
      <c r="A329" s="1">
        <v>12614</v>
      </c>
      <c r="B329" s="1" t="s">
        <v>161</v>
      </c>
      <c r="C329" t="str">
        <f t="shared" si="5"/>
        <v xml:space="preserve">12614 Leporillus sp.  </v>
      </c>
      <c r="D329" s="5">
        <v>134.608328</v>
      </c>
      <c r="E329" s="5">
        <v>-27.900006999999999</v>
      </c>
    </row>
    <row r="330" spans="1:5">
      <c r="A330" s="1" t="str">
        <f>FossilMiddens!A3</f>
        <v>ARLT01</v>
      </c>
      <c r="B330" s="1" t="s">
        <v>161</v>
      </c>
      <c r="C330" t="str">
        <f t="shared" si="5"/>
        <v xml:space="preserve">ARLT01 Leporillus sp.  </v>
      </c>
      <c r="D330" s="5">
        <f>FossilMiddens!H3</f>
        <v>134.69999999999999</v>
      </c>
      <c r="E330" s="5">
        <f>FossilMiddens!I3</f>
        <v>-23.45</v>
      </c>
    </row>
    <row r="331" spans="1:5">
      <c r="A331" s="1" t="str">
        <f>FossilMiddens!A7</f>
        <v>ARLTG8</v>
      </c>
      <c r="B331" s="1" t="s">
        <v>161</v>
      </c>
      <c r="C331" t="str">
        <f t="shared" si="5"/>
        <v xml:space="preserve">ARLTG8 Leporillus sp.  </v>
      </c>
      <c r="D331" s="5">
        <f>FossilMiddens!H7</f>
        <v>134.69999999999999</v>
      </c>
      <c r="E331" s="5">
        <f>FossilMiddens!I7</f>
        <v>-23.45</v>
      </c>
    </row>
    <row r="332" spans="1:5">
      <c r="A332" s="1" t="str">
        <f>FossilMiddens!A5</f>
        <v>ARLTH10</v>
      </c>
      <c r="B332" s="1" t="s">
        <v>161</v>
      </c>
      <c r="C332" t="str">
        <f t="shared" si="5"/>
        <v xml:space="preserve">ARLTH10 Leporillus sp.  </v>
      </c>
      <c r="D332" s="5">
        <f>FossilMiddens!H5</f>
        <v>134.69999999999999</v>
      </c>
      <c r="E332" s="5">
        <f>FossilMiddens!I5</f>
        <v>-23.45</v>
      </c>
    </row>
    <row r="333" spans="1:5">
      <c r="A333" s="1" t="str">
        <f>FossilMiddens!A6</f>
        <v>ARLTK2</v>
      </c>
      <c r="B333" s="1" t="s">
        <v>161</v>
      </c>
      <c r="C333" t="str">
        <f t="shared" si="5"/>
        <v xml:space="preserve">ARLTK2 Leporillus sp.  </v>
      </c>
      <c r="D333" s="5">
        <f>FossilMiddens!H6</f>
        <v>134.69999999999999</v>
      </c>
      <c r="E333" s="5">
        <f>FossilMiddens!I6</f>
        <v>-23.45</v>
      </c>
    </row>
    <row r="334" spans="1:5">
      <c r="A334" s="1" t="str">
        <f>FossilMiddens!A4</f>
        <v>ARLTN15</v>
      </c>
      <c r="B334" s="1" t="s">
        <v>161</v>
      </c>
      <c r="C334" t="str">
        <f t="shared" si="5"/>
        <v xml:space="preserve">ARLTN15 Leporillus sp.  </v>
      </c>
      <c r="D334" s="5">
        <f>FossilMiddens!H4</f>
        <v>134.69999999999999</v>
      </c>
      <c r="E334" s="5">
        <f>FossilMiddens!I4</f>
        <v>-23.45</v>
      </c>
    </row>
    <row r="335" spans="1:5">
      <c r="A335" s="1" t="str">
        <f>FossilMiddens!A2</f>
        <v>ARLTP5</v>
      </c>
      <c r="B335" s="1" t="s">
        <v>161</v>
      </c>
      <c r="C335" t="str">
        <f t="shared" si="5"/>
        <v xml:space="preserve">ARLTP5 Leporillus sp.  </v>
      </c>
      <c r="D335" s="5">
        <f>FossilMiddens!H2</f>
        <v>134.69999999999999</v>
      </c>
      <c r="E335" s="5">
        <f>FossilMiddens!I2</f>
        <v>-23.45</v>
      </c>
    </row>
    <row r="336" spans="1:5">
      <c r="A336" s="1">
        <v>12702</v>
      </c>
      <c r="B336" s="1" t="s">
        <v>161</v>
      </c>
      <c r="C336" t="str">
        <f t="shared" si="5"/>
        <v xml:space="preserve">12702 Leporillus sp.  </v>
      </c>
      <c r="D336" s="5">
        <v>134.749999</v>
      </c>
      <c r="E336" s="5">
        <v>-29.433342</v>
      </c>
    </row>
    <row r="337" spans="1:7">
      <c r="A337" s="1">
        <v>12586</v>
      </c>
      <c r="B337" s="1" t="s">
        <v>161</v>
      </c>
      <c r="C337" t="str">
        <f t="shared" si="5"/>
        <v xml:space="preserve">12586 Leporillus sp.  </v>
      </c>
      <c r="D337" s="5">
        <v>135.199996</v>
      </c>
      <c r="E337" s="5">
        <v>-25.883341999999999</v>
      </c>
    </row>
    <row r="338" spans="1:7">
      <c r="A338" s="1">
        <v>12587</v>
      </c>
      <c r="B338" s="1" t="s">
        <v>161</v>
      </c>
      <c r="C338" t="str">
        <f t="shared" si="5"/>
        <v xml:space="preserve">12587 Leporillus sp.  </v>
      </c>
      <c r="D338" s="5">
        <v>135.199996</v>
      </c>
      <c r="E338" s="5">
        <v>-25.883341999999999</v>
      </c>
    </row>
    <row r="339" spans="1:7">
      <c r="A339" s="1">
        <v>12664</v>
      </c>
      <c r="B339" s="1" t="s">
        <v>161</v>
      </c>
      <c r="C339" t="str">
        <f t="shared" si="5"/>
        <v xml:space="preserve">12664 Leporillus sp.  </v>
      </c>
      <c r="D339" s="5">
        <v>135.43332799999999</v>
      </c>
      <c r="E339" s="5">
        <v>-26.216676</v>
      </c>
    </row>
    <row r="340" spans="1:7">
      <c r="A340" s="1">
        <v>378</v>
      </c>
      <c r="B340" s="1" t="s">
        <v>161</v>
      </c>
      <c r="C340" t="str">
        <f t="shared" si="5"/>
        <v xml:space="preserve">378 Leporillus sp.  </v>
      </c>
      <c r="D340" s="5">
        <v>135.694243</v>
      </c>
      <c r="E340" s="5">
        <v>-32.385579999999997</v>
      </c>
    </row>
    <row r="341" spans="1:7">
      <c r="A341" s="1">
        <v>12709</v>
      </c>
      <c r="B341" s="1" t="s">
        <v>161</v>
      </c>
      <c r="C341" t="str">
        <f t="shared" si="5"/>
        <v xml:space="preserve">12709 Leporillus sp.  </v>
      </c>
      <c r="D341" s="5">
        <v>135.833325</v>
      </c>
      <c r="E341" s="5">
        <v>-34.583336000000003</v>
      </c>
    </row>
    <row r="342" spans="1:7">
      <c r="A342" s="1">
        <v>12706</v>
      </c>
      <c r="B342" s="1" t="s">
        <v>161</v>
      </c>
      <c r="C342" t="str">
        <f t="shared" si="5"/>
        <v xml:space="preserve">12706 Leporillus sp.  </v>
      </c>
      <c r="D342" s="5">
        <v>135.99999399999999</v>
      </c>
      <c r="E342" s="5">
        <v>-27.666671000000001</v>
      </c>
    </row>
    <row r="343" spans="1:7">
      <c r="A343" s="1">
        <v>12607</v>
      </c>
      <c r="B343" s="1" t="s">
        <v>161</v>
      </c>
      <c r="C343" t="str">
        <f t="shared" si="5"/>
        <v xml:space="preserve">12607 Leporillus sp.  </v>
      </c>
      <c r="D343" s="5">
        <v>136.333326</v>
      </c>
      <c r="E343" s="5">
        <v>-31.183337000000002</v>
      </c>
    </row>
    <row r="344" spans="1:7">
      <c r="A344" s="1">
        <v>12872</v>
      </c>
      <c r="B344" s="1" t="s">
        <v>161</v>
      </c>
      <c r="C344" t="str">
        <f t="shared" si="5"/>
        <v>12872 Leporillus sp.   Peron Peninsula</v>
      </c>
      <c r="D344" s="5">
        <v>137.09999099999999</v>
      </c>
      <c r="E344" s="5">
        <v>-33.200001999999998</v>
      </c>
      <c r="G344" t="s">
        <v>777</v>
      </c>
    </row>
    <row r="345" spans="1:7">
      <c r="A345" s="1">
        <v>12686</v>
      </c>
      <c r="B345" s="1" t="s">
        <v>161</v>
      </c>
      <c r="C345" t="str">
        <f t="shared" si="5"/>
        <v>12686 Leporillus sp.   south</v>
      </c>
      <c r="D345" s="5">
        <v>137.166662</v>
      </c>
      <c r="E345" s="5">
        <v>-33.016666999999998</v>
      </c>
      <c r="G345" t="s">
        <v>782</v>
      </c>
    </row>
    <row r="346" spans="1:7">
      <c r="A346" s="1">
        <v>12685</v>
      </c>
      <c r="B346" s="1" t="s">
        <v>161</v>
      </c>
      <c r="C346" t="str">
        <f t="shared" si="5"/>
        <v xml:space="preserve">12685 Leporillus sp.  </v>
      </c>
      <c r="D346" s="5">
        <v>137.166664</v>
      </c>
      <c r="E346" s="5">
        <v>-33.033341</v>
      </c>
    </row>
    <row r="347" spans="1:7">
      <c r="A347" s="1">
        <v>12687</v>
      </c>
      <c r="B347" s="1" t="s">
        <v>161</v>
      </c>
      <c r="C347" t="str">
        <f t="shared" si="5"/>
        <v xml:space="preserve">12687 Leporillus sp.  </v>
      </c>
      <c r="D347" s="5">
        <v>137.16666499999999</v>
      </c>
      <c r="E347" s="5">
        <v>-33.050006000000003</v>
      </c>
    </row>
    <row r="348" spans="1:7">
      <c r="A348" s="1">
        <v>12705</v>
      </c>
      <c r="B348" s="1" t="s">
        <v>161</v>
      </c>
      <c r="C348" t="str">
        <f t="shared" si="5"/>
        <v xml:space="preserve">12705 Leporillus sp.  </v>
      </c>
      <c r="D348" s="5">
        <v>137.43333100000001</v>
      </c>
      <c r="E348" s="5">
        <v>-32.750000999999997</v>
      </c>
    </row>
    <row r="349" spans="1:7">
      <c r="A349" s="1">
        <v>12653</v>
      </c>
      <c r="B349" s="1" t="s">
        <v>161</v>
      </c>
      <c r="C349" t="str">
        <f t="shared" si="5"/>
        <v xml:space="preserve">12653 Leporillus sp.  </v>
      </c>
      <c r="D349" s="5">
        <v>137.49999500000001</v>
      </c>
      <c r="E349" s="5">
        <v>-29.500005000000002</v>
      </c>
    </row>
    <row r="350" spans="1:7">
      <c r="A350" s="1">
        <v>12675</v>
      </c>
      <c r="B350" s="1" t="s">
        <v>161</v>
      </c>
      <c r="C350" t="str">
        <f t="shared" si="5"/>
        <v xml:space="preserve">12675 Leporillus sp.  </v>
      </c>
      <c r="D350" s="5">
        <v>138.06665799999999</v>
      </c>
      <c r="E350" s="5">
        <v>-32.083337999999998</v>
      </c>
    </row>
    <row r="351" spans="1:7">
      <c r="A351" s="1">
        <v>12652</v>
      </c>
      <c r="B351" s="1" t="s">
        <v>161</v>
      </c>
      <c r="C351" t="str">
        <f t="shared" si="5"/>
        <v>12652 Leporillus sp.   NE Cape Cuvier</v>
      </c>
      <c r="D351" s="5">
        <v>138.41666599999999</v>
      </c>
      <c r="E351" s="5">
        <v>-30.550001000000002</v>
      </c>
      <c r="G351" t="s">
        <v>778</v>
      </c>
    </row>
    <row r="352" spans="1:7">
      <c r="A352" s="1" t="str">
        <f>FossilMiddens!A131</f>
        <v>BR1 (base)</v>
      </c>
      <c r="B352" s="1" t="s">
        <v>161</v>
      </c>
      <c r="C352" t="str">
        <f t="shared" si="5"/>
        <v xml:space="preserve">BR1 (base) Leporillus sp.  </v>
      </c>
      <c r="D352" s="5">
        <f>FossilMiddens!H131</f>
        <v>138.55000000000001</v>
      </c>
      <c r="E352" s="5">
        <f>FossilMiddens!I131</f>
        <v>-31.35</v>
      </c>
    </row>
    <row r="353" spans="1:5">
      <c r="A353" s="1" t="str">
        <f>FossilMiddens!A145</f>
        <v>BR1 (base)</v>
      </c>
      <c r="B353" s="1" t="s">
        <v>161</v>
      </c>
      <c r="C353" t="str">
        <f t="shared" si="5"/>
        <v xml:space="preserve">BR1 (base) Leporillus sp.  </v>
      </c>
      <c r="D353" s="5">
        <f>FossilMiddens!H145</f>
        <v>138.55000000000001</v>
      </c>
      <c r="E353" s="5">
        <f>FossilMiddens!I145</f>
        <v>-31.35</v>
      </c>
    </row>
    <row r="354" spans="1:5">
      <c r="A354" s="1" t="str">
        <f>FossilMiddens!A132</f>
        <v>BR1 (top)</v>
      </c>
      <c r="B354" s="1" t="s">
        <v>161</v>
      </c>
      <c r="C354" t="str">
        <f t="shared" si="5"/>
        <v xml:space="preserve">BR1 (top) Leporillus sp.  </v>
      </c>
      <c r="D354" s="5">
        <f>FossilMiddens!H132</f>
        <v>138.55000000000001</v>
      </c>
      <c r="E354" s="5">
        <f>FossilMiddens!I132</f>
        <v>-31.35</v>
      </c>
    </row>
    <row r="355" spans="1:5">
      <c r="A355" s="1" t="str">
        <f>FossilMiddens!A146</f>
        <v>BR1 (top)</v>
      </c>
      <c r="B355" s="1" t="s">
        <v>161</v>
      </c>
      <c r="C355" t="str">
        <f t="shared" si="5"/>
        <v xml:space="preserve">BR1 (top) Leporillus sp.  </v>
      </c>
      <c r="D355" s="5">
        <f>FossilMiddens!H146</f>
        <v>138.55000000000001</v>
      </c>
      <c r="E355" s="5">
        <f>FossilMiddens!I146</f>
        <v>-31.35</v>
      </c>
    </row>
    <row r="356" spans="1:5">
      <c r="A356" s="1" t="str">
        <f>FossilMiddens!A133</f>
        <v>BR2 (middle)</v>
      </c>
      <c r="B356" s="1" t="s">
        <v>161</v>
      </c>
      <c r="C356" t="str">
        <f t="shared" si="5"/>
        <v xml:space="preserve">BR2 (middle) Leporillus sp.  </v>
      </c>
      <c r="D356" s="5">
        <f>FossilMiddens!H133</f>
        <v>138.55000000000001</v>
      </c>
      <c r="E356" s="5">
        <f>FossilMiddens!I133</f>
        <v>-31.35</v>
      </c>
    </row>
    <row r="357" spans="1:5">
      <c r="A357" s="1" t="str">
        <f>FossilMiddens!A134</f>
        <v>BR3 (base)</v>
      </c>
      <c r="B357" s="1" t="s">
        <v>161</v>
      </c>
      <c r="C357" t="str">
        <f t="shared" si="5"/>
        <v xml:space="preserve">BR3 (base) Leporillus sp.  </v>
      </c>
      <c r="D357" s="5">
        <f>FossilMiddens!H134</f>
        <v>138.55000000000001</v>
      </c>
      <c r="E357" s="5">
        <f>FossilMiddens!I134</f>
        <v>-31.35</v>
      </c>
    </row>
    <row r="358" spans="1:5">
      <c r="A358" s="1" t="str">
        <f>FossilMiddens!A135</f>
        <v>BR3 (base)</v>
      </c>
      <c r="B358" s="1" t="s">
        <v>161</v>
      </c>
      <c r="C358" t="str">
        <f t="shared" si="5"/>
        <v xml:space="preserve">BR3 (base) Leporillus sp.  </v>
      </c>
      <c r="D358" s="5">
        <f>FossilMiddens!H135</f>
        <v>138.55000000000001</v>
      </c>
      <c r="E358" s="5">
        <f>FossilMiddens!I135</f>
        <v>-31.35</v>
      </c>
    </row>
    <row r="359" spans="1:5">
      <c r="A359" s="1" t="str">
        <f>FossilMiddens!A136</f>
        <v>BR3 (top)</v>
      </c>
      <c r="B359" s="1" t="s">
        <v>161</v>
      </c>
      <c r="C359" t="str">
        <f t="shared" si="5"/>
        <v xml:space="preserve">BR3 (top) Leporillus sp.  </v>
      </c>
      <c r="D359" s="5">
        <f>FossilMiddens!H136</f>
        <v>138.55000000000001</v>
      </c>
      <c r="E359" s="5">
        <f>FossilMiddens!I136</f>
        <v>-31.35</v>
      </c>
    </row>
    <row r="360" spans="1:5">
      <c r="A360" s="1" t="str">
        <f>FossilMiddens!A137</f>
        <v>BR3 (top)</v>
      </c>
      <c r="B360" s="1" t="s">
        <v>161</v>
      </c>
      <c r="C360" t="str">
        <f t="shared" si="5"/>
        <v xml:space="preserve">BR3 (top) Leporillus sp.  </v>
      </c>
      <c r="D360" s="5">
        <f>FossilMiddens!H137</f>
        <v>138.55000000000001</v>
      </c>
      <c r="E360" s="5">
        <f>FossilMiddens!I137</f>
        <v>-31.35</v>
      </c>
    </row>
    <row r="361" spans="1:5">
      <c r="A361" s="1" t="str">
        <f>FossilMiddens!A138</f>
        <v>BR4 (10cm)</v>
      </c>
      <c r="B361" s="1" t="s">
        <v>161</v>
      </c>
      <c r="C361" t="str">
        <f t="shared" si="5"/>
        <v xml:space="preserve">BR4 (10cm) Leporillus sp.  </v>
      </c>
      <c r="D361" s="5">
        <f>FossilMiddens!H138</f>
        <v>138.55000000000001</v>
      </c>
      <c r="E361" s="5">
        <f>FossilMiddens!I138</f>
        <v>-31.35</v>
      </c>
    </row>
    <row r="362" spans="1:5">
      <c r="A362" s="1" t="str">
        <f>FossilMiddens!A139</f>
        <v>BR4 (10cm)</v>
      </c>
      <c r="B362" s="1" t="s">
        <v>161</v>
      </c>
      <c r="C362" t="str">
        <f t="shared" si="5"/>
        <v xml:space="preserve">BR4 (10cm) Leporillus sp.  </v>
      </c>
      <c r="D362" s="5">
        <f>FossilMiddens!H139</f>
        <v>138.55000000000001</v>
      </c>
      <c r="E362" s="5">
        <f>FossilMiddens!I139</f>
        <v>-31.35</v>
      </c>
    </row>
    <row r="363" spans="1:5">
      <c r="A363" s="1" t="str">
        <f>FossilMiddens!A147</f>
        <v>BR4 (10cm)</v>
      </c>
      <c r="B363" s="1" t="s">
        <v>161</v>
      </c>
      <c r="C363" t="str">
        <f t="shared" si="5"/>
        <v xml:space="preserve">BR4 (10cm) Leporillus sp.  </v>
      </c>
      <c r="D363" s="5">
        <f>FossilMiddens!H147</f>
        <v>138.55000000000001</v>
      </c>
      <c r="E363" s="5">
        <f>FossilMiddens!I147</f>
        <v>-31.35</v>
      </c>
    </row>
    <row r="364" spans="1:5">
      <c r="A364" s="1" t="str">
        <f>FossilMiddens!A148</f>
        <v>BR4 (20cm)</v>
      </c>
      <c r="B364" s="1" t="s">
        <v>161</v>
      </c>
      <c r="C364" t="str">
        <f t="shared" si="5"/>
        <v xml:space="preserve">BR4 (20cm) Leporillus sp.  </v>
      </c>
      <c r="D364" s="5">
        <f>FossilMiddens!H148</f>
        <v>138.55000000000001</v>
      </c>
      <c r="E364" s="5">
        <f>FossilMiddens!I148</f>
        <v>-31.35</v>
      </c>
    </row>
    <row r="365" spans="1:5">
      <c r="A365" s="1" t="str">
        <f>FossilMiddens!A149</f>
        <v>BR4 (30cm)</v>
      </c>
      <c r="B365" s="1" t="s">
        <v>161</v>
      </c>
      <c r="C365" t="str">
        <f t="shared" si="5"/>
        <v xml:space="preserve">BR4 (30cm) Leporillus sp.  </v>
      </c>
      <c r="D365" s="5">
        <f>FossilMiddens!H149</f>
        <v>138.55000000000001</v>
      </c>
      <c r="E365" s="5">
        <f>FossilMiddens!I149</f>
        <v>-31.35</v>
      </c>
    </row>
    <row r="366" spans="1:5">
      <c r="A366" s="1" t="str">
        <f>FossilMiddens!A150</f>
        <v>BR4 (40cm)</v>
      </c>
      <c r="B366" s="1" t="s">
        <v>161</v>
      </c>
      <c r="C366" t="str">
        <f t="shared" si="5"/>
        <v xml:space="preserve">BR4 (40cm) Leporillus sp.  </v>
      </c>
      <c r="D366" s="5">
        <f>FossilMiddens!H150</f>
        <v>138.55000000000001</v>
      </c>
      <c r="E366" s="5">
        <f>FossilMiddens!I150</f>
        <v>-31.35</v>
      </c>
    </row>
    <row r="367" spans="1:5">
      <c r="A367" s="1" t="str">
        <f>FossilMiddens!A151</f>
        <v>BR4 (50cm)</v>
      </c>
      <c r="B367" s="1" t="s">
        <v>161</v>
      </c>
      <c r="C367" t="str">
        <f t="shared" si="5"/>
        <v xml:space="preserve">BR4 (50cm) Leporillus sp.  </v>
      </c>
      <c r="D367" s="5">
        <f>FossilMiddens!H151</f>
        <v>138.55000000000001</v>
      </c>
      <c r="E367" s="5">
        <f>FossilMiddens!I151</f>
        <v>-31.35</v>
      </c>
    </row>
    <row r="368" spans="1:5">
      <c r="A368" s="1" t="str">
        <f>FossilMiddens!A140</f>
        <v>BR4 (60cm)</v>
      </c>
      <c r="B368" s="1" t="s">
        <v>161</v>
      </c>
      <c r="C368" t="str">
        <f t="shared" si="5"/>
        <v xml:space="preserve">BR4 (60cm) Leporillus sp.  </v>
      </c>
      <c r="D368" s="5">
        <f>FossilMiddens!H140</f>
        <v>138.55000000000001</v>
      </c>
      <c r="E368" s="5">
        <f>FossilMiddens!I140</f>
        <v>-31.35</v>
      </c>
    </row>
    <row r="369" spans="1:7">
      <c r="A369" s="1" t="str">
        <f>FossilMiddens!A141</f>
        <v>BR4 (60cm)</v>
      </c>
      <c r="B369" s="1" t="s">
        <v>161</v>
      </c>
      <c r="C369" t="str">
        <f t="shared" si="5"/>
        <v xml:space="preserve">BR4 (60cm) Leporillus sp.  </v>
      </c>
      <c r="D369" s="5">
        <f>FossilMiddens!H141</f>
        <v>138.55000000000001</v>
      </c>
      <c r="E369" s="5">
        <f>FossilMiddens!I141</f>
        <v>-31.35</v>
      </c>
    </row>
    <row r="370" spans="1:7">
      <c r="A370" s="1" t="str">
        <f>FossilMiddens!A152</f>
        <v>BR4 (60cm)</v>
      </c>
      <c r="B370" s="1" t="s">
        <v>161</v>
      </c>
      <c r="C370" t="str">
        <f t="shared" si="5"/>
        <v xml:space="preserve">BR4 (60cm) Leporillus sp.  </v>
      </c>
      <c r="D370" s="5">
        <f>FossilMiddens!H152</f>
        <v>138.55000000000001</v>
      </c>
      <c r="E370" s="5">
        <f>FossilMiddens!I152</f>
        <v>-31.35</v>
      </c>
    </row>
    <row r="371" spans="1:7">
      <c r="A371" s="1" t="str">
        <f>FossilMiddens!A142</f>
        <v>BR7 (base)</v>
      </c>
      <c r="B371" s="1" t="s">
        <v>161</v>
      </c>
      <c r="C371" t="str">
        <f t="shared" si="5"/>
        <v xml:space="preserve">BR7 (base) Leporillus sp.  </v>
      </c>
      <c r="D371" s="5">
        <f>FossilMiddens!H142</f>
        <v>138.55000000000001</v>
      </c>
      <c r="E371" s="5">
        <f>FossilMiddens!I142</f>
        <v>-31.35</v>
      </c>
    </row>
    <row r="372" spans="1:7">
      <c r="A372" s="1" t="str">
        <f>FossilMiddens!A143</f>
        <v>BRACHINA 1 GORGE</v>
      </c>
      <c r="B372" s="1" t="s">
        <v>161</v>
      </c>
      <c r="C372" t="str">
        <f t="shared" si="5"/>
        <v xml:space="preserve">BRACHINA 1 GORGE Leporillus sp.  </v>
      </c>
      <c r="D372" s="5">
        <f>FossilMiddens!H143</f>
        <v>138.55000000000001</v>
      </c>
      <c r="E372" s="5">
        <f>FossilMiddens!I143</f>
        <v>-31.35</v>
      </c>
    </row>
    <row r="373" spans="1:7">
      <c r="A373" s="1" t="str">
        <f>FossilMiddens!A144</f>
        <v>BRACHINA 2</v>
      </c>
      <c r="B373" s="1" t="s">
        <v>161</v>
      </c>
      <c r="C373" t="str">
        <f t="shared" si="5"/>
        <v xml:space="preserve">BRACHINA 2 Leporillus sp.  </v>
      </c>
      <c r="D373" s="5">
        <f>FossilMiddens!H144</f>
        <v>138.55000000000001</v>
      </c>
      <c r="E373" s="5">
        <f>FossilMiddens!I144</f>
        <v>-31.35</v>
      </c>
    </row>
    <row r="374" spans="1:7">
      <c r="A374" s="1">
        <v>12737</v>
      </c>
      <c r="B374" s="1" t="s">
        <v>161</v>
      </c>
      <c r="C374" t="str">
        <f t="shared" si="5"/>
        <v>12737 Leporillus sp.   Pingandie Stn</v>
      </c>
      <c r="D374" s="5">
        <v>138.74999600000001</v>
      </c>
      <c r="E374" s="5">
        <v>-31.500001999999999</v>
      </c>
      <c r="G374" t="s">
        <v>783</v>
      </c>
    </row>
    <row r="375" spans="1:7">
      <c r="A375" s="1">
        <v>107226</v>
      </c>
      <c r="B375" s="1" t="s">
        <v>161</v>
      </c>
      <c r="C375" t="str">
        <f t="shared" si="5"/>
        <v xml:space="preserve">107226 Leporillus sp.  </v>
      </c>
      <c r="D375" s="5">
        <v>138.77418599999999</v>
      </c>
      <c r="E375" s="5">
        <v>-29.392106999999999</v>
      </c>
    </row>
    <row r="376" spans="1:7">
      <c r="A376" s="1">
        <v>113906</v>
      </c>
      <c r="B376" s="1" t="s">
        <v>161</v>
      </c>
      <c r="C376" t="str">
        <f t="shared" si="5"/>
        <v xml:space="preserve">113906 Leporillus sp.  </v>
      </c>
      <c r="D376" s="5">
        <v>138.81952899999999</v>
      </c>
      <c r="E376" s="5">
        <v>-30.340722</v>
      </c>
    </row>
    <row r="377" spans="1:7">
      <c r="A377" s="1">
        <v>12735</v>
      </c>
      <c r="B377" s="1" t="s">
        <v>161</v>
      </c>
      <c r="C377" t="str">
        <f t="shared" si="5"/>
        <v xml:space="preserve">12735 Leporillus sp.  </v>
      </c>
      <c r="D377" s="5">
        <v>138.833325</v>
      </c>
      <c r="E377" s="5">
        <v>-31.500005999999999</v>
      </c>
    </row>
    <row r="378" spans="1:7">
      <c r="A378" s="1">
        <v>12654</v>
      </c>
      <c r="B378" s="1" t="s">
        <v>161</v>
      </c>
      <c r="C378" t="str">
        <f t="shared" si="5"/>
        <v xml:space="preserve">12654 Leporillus sp.  </v>
      </c>
      <c r="D378" s="5">
        <v>138.916662</v>
      </c>
      <c r="E378" s="5">
        <v>-32.15</v>
      </c>
    </row>
    <row r="379" spans="1:7">
      <c r="A379" s="1">
        <v>12656</v>
      </c>
      <c r="B379" s="1" t="s">
        <v>161</v>
      </c>
      <c r="C379" t="str">
        <f t="shared" si="5"/>
        <v xml:space="preserve">12656 Leporillus sp.  </v>
      </c>
      <c r="D379" s="5">
        <v>138.916662</v>
      </c>
      <c r="E379" s="5">
        <v>-32.15</v>
      </c>
    </row>
    <row r="380" spans="1:7">
      <c r="A380" s="1">
        <v>12676</v>
      </c>
      <c r="B380" s="1" t="s">
        <v>161</v>
      </c>
      <c r="C380" t="str">
        <f t="shared" si="5"/>
        <v xml:space="preserve">12676 Leporillus sp.  </v>
      </c>
      <c r="D380" s="5">
        <v>138.916662</v>
      </c>
      <c r="E380" s="5">
        <v>-32.15</v>
      </c>
    </row>
    <row r="381" spans="1:7">
      <c r="A381" s="1">
        <v>12731</v>
      </c>
      <c r="B381" s="1" t="s">
        <v>161</v>
      </c>
      <c r="C381" t="str">
        <f t="shared" si="5"/>
        <v xml:space="preserve">12731 Leporillus sp.  </v>
      </c>
      <c r="D381" s="5">
        <v>139.14999399999999</v>
      </c>
      <c r="E381" s="5">
        <v>-30.566666999999999</v>
      </c>
    </row>
    <row r="382" spans="1:7">
      <c r="A382" s="1">
        <v>12569</v>
      </c>
      <c r="B382" s="1" t="s">
        <v>161</v>
      </c>
      <c r="C382" t="str">
        <f t="shared" si="5"/>
        <v xml:space="preserve">12569 Leporillus sp.  </v>
      </c>
      <c r="D382" s="5">
        <v>139.21666400000001</v>
      </c>
      <c r="E382" s="5">
        <v>-30.683335</v>
      </c>
    </row>
    <row r="383" spans="1:7">
      <c r="A383" s="1">
        <v>12683</v>
      </c>
      <c r="B383" s="1" t="s">
        <v>161</v>
      </c>
      <c r="C383" t="str">
        <f t="shared" si="5"/>
        <v xml:space="preserve">12683 Leporillus sp.  </v>
      </c>
      <c r="D383" s="5">
        <v>139.266662</v>
      </c>
      <c r="E383" s="5">
        <v>-30.966673</v>
      </c>
    </row>
    <row r="384" spans="1:7">
      <c r="A384" s="1">
        <v>114227</v>
      </c>
      <c r="B384" s="1" t="s">
        <v>161</v>
      </c>
      <c r="C384" t="str">
        <f t="shared" si="5"/>
        <v xml:space="preserve">114227 Leporillus sp.  </v>
      </c>
      <c r="D384" s="5">
        <v>139.273877</v>
      </c>
      <c r="E384" s="5">
        <v>-30.175476</v>
      </c>
    </row>
    <row r="385" spans="1:5">
      <c r="A385" s="1">
        <v>12604</v>
      </c>
      <c r="B385" s="1" t="s">
        <v>161</v>
      </c>
      <c r="C385" t="str">
        <f t="shared" si="5"/>
        <v xml:space="preserve">12604 Leporillus sp.  </v>
      </c>
      <c r="D385" s="5">
        <v>139.28332499999999</v>
      </c>
      <c r="E385" s="5">
        <v>-30.666668000000001</v>
      </c>
    </row>
    <row r="386" spans="1:5">
      <c r="A386" s="1" t="str">
        <f>FossilMiddens!A99</f>
        <v>CG1</v>
      </c>
      <c r="B386" s="1" t="s">
        <v>161</v>
      </c>
      <c r="C386" t="str">
        <f t="shared" si="5"/>
        <v xml:space="preserve">CG1 Leporillus sp.  </v>
      </c>
      <c r="D386" s="5">
        <f>FossilMiddens!H99</f>
        <v>139.33333333333334</v>
      </c>
      <c r="E386" s="5">
        <f>FossilMiddens!I99</f>
        <v>-30.966666666666665</v>
      </c>
    </row>
    <row r="387" spans="1:5">
      <c r="A387" s="1" t="str">
        <f>FossilMiddens!A100</f>
        <v>MC1 (centre)</v>
      </c>
      <c r="B387" s="1" t="s">
        <v>161</v>
      </c>
      <c r="C387" t="str">
        <f t="shared" ref="C387:C450" si="6">A387&amp;" "&amp;B387&amp;" "&amp;F387&amp;" "&amp;G387</f>
        <v xml:space="preserve">MC1 (centre) Leporillus sp.  </v>
      </c>
      <c r="D387" s="5">
        <f>FossilMiddens!H100</f>
        <v>139.33333333333334</v>
      </c>
      <c r="E387" s="5">
        <f>FossilMiddens!I100</f>
        <v>-30.966666666666665</v>
      </c>
    </row>
    <row r="388" spans="1:5">
      <c r="A388" s="1" t="str">
        <f>FossilMiddens!A101</f>
        <v>MC1 (exposed base)</v>
      </c>
      <c r="B388" s="1" t="s">
        <v>161</v>
      </c>
      <c r="C388" t="str">
        <f t="shared" si="6"/>
        <v xml:space="preserve">MC1 (exposed base) Leporillus sp.  </v>
      </c>
      <c r="D388" s="5">
        <f>FossilMiddens!H101</f>
        <v>139.33333333333334</v>
      </c>
      <c r="E388" s="5">
        <f>FossilMiddens!I101</f>
        <v>-30.966666666666665</v>
      </c>
    </row>
    <row r="389" spans="1:5">
      <c r="A389" s="1" t="str">
        <f>FossilMiddens!A102</f>
        <v>MC2 (overhang)</v>
      </c>
      <c r="B389" s="1" t="s">
        <v>161</v>
      </c>
      <c r="C389" t="str">
        <f t="shared" si="6"/>
        <v xml:space="preserve">MC2 (overhang) Leporillus sp.  </v>
      </c>
      <c r="D389" s="5">
        <f>FossilMiddens!H102</f>
        <v>139.33333333333334</v>
      </c>
      <c r="E389" s="5">
        <f>FossilMiddens!I102</f>
        <v>-30.966666666666665</v>
      </c>
    </row>
    <row r="390" spans="1:5">
      <c r="A390" s="1" t="str">
        <f>FossilMiddens!A103</f>
        <v>MC2 (top)</v>
      </c>
      <c r="B390" s="1" t="s">
        <v>161</v>
      </c>
      <c r="C390" t="str">
        <f t="shared" si="6"/>
        <v xml:space="preserve">MC2 (top) Leporillus sp.  </v>
      </c>
      <c r="D390" s="5">
        <f>FossilMiddens!H103</f>
        <v>139.33333333333334</v>
      </c>
      <c r="E390" s="5">
        <f>FossilMiddens!I103</f>
        <v>-30.966666666666665</v>
      </c>
    </row>
    <row r="391" spans="1:5">
      <c r="A391" s="1" t="str">
        <f>FossilMiddens!A104</f>
        <v>MC2 (top)</v>
      </c>
      <c r="B391" s="1" t="s">
        <v>161</v>
      </c>
      <c r="C391" t="str">
        <f t="shared" si="6"/>
        <v xml:space="preserve">MC2 (top) Leporillus sp.  </v>
      </c>
      <c r="D391" s="5">
        <f>FossilMiddens!H104</f>
        <v>139.33333333333334</v>
      </c>
      <c r="E391" s="5">
        <f>FossilMiddens!I104</f>
        <v>-30.966666666666665</v>
      </c>
    </row>
    <row r="392" spans="1:5">
      <c r="A392" s="1" t="str">
        <f>FossilMiddens!A105</f>
        <v>MD3</v>
      </c>
      <c r="B392" s="1" t="s">
        <v>161</v>
      </c>
      <c r="C392" t="str">
        <f t="shared" si="6"/>
        <v xml:space="preserve">MD3 Leporillus sp.  </v>
      </c>
      <c r="D392" s="5">
        <f>FossilMiddens!H105</f>
        <v>139.33333333333334</v>
      </c>
      <c r="E392" s="5">
        <f>FossilMiddens!I105</f>
        <v>-30.966666666666665</v>
      </c>
    </row>
    <row r="393" spans="1:5">
      <c r="A393" s="1" t="str">
        <f>FossilMiddens!A106</f>
        <v>SAJQ85L</v>
      </c>
      <c r="B393" s="1" t="s">
        <v>161</v>
      </c>
      <c r="C393" t="str">
        <f t="shared" si="6"/>
        <v xml:space="preserve">SAJQ85L Leporillus sp.  </v>
      </c>
      <c r="D393" s="5">
        <f>FossilMiddens!H106</f>
        <v>139.33333333333334</v>
      </c>
      <c r="E393" s="5">
        <f>FossilMiddens!I106</f>
        <v>-30.966666666666665</v>
      </c>
    </row>
    <row r="394" spans="1:5">
      <c r="A394" s="1" t="str">
        <f>FossilMiddens!A107</f>
        <v>SAJQ85L</v>
      </c>
      <c r="B394" s="1" t="s">
        <v>161</v>
      </c>
      <c r="C394" t="str">
        <f t="shared" si="6"/>
        <v xml:space="preserve">SAJQ85L Leporillus sp.  </v>
      </c>
      <c r="D394" s="5">
        <f>FossilMiddens!H107</f>
        <v>139.33333333333334</v>
      </c>
      <c r="E394" s="5">
        <f>FossilMiddens!I107</f>
        <v>-30.966666666666665</v>
      </c>
    </row>
    <row r="395" spans="1:5">
      <c r="A395" s="1" t="str">
        <f>FossilMiddens!A108</f>
        <v>SAJQ85R</v>
      </c>
      <c r="B395" s="1" t="s">
        <v>161</v>
      </c>
      <c r="C395" t="str">
        <f t="shared" si="6"/>
        <v xml:space="preserve">SAJQ85R Leporillus sp.  </v>
      </c>
      <c r="D395" s="5">
        <f>FossilMiddens!H108</f>
        <v>139.33333333333334</v>
      </c>
      <c r="E395" s="5">
        <f>FossilMiddens!I108</f>
        <v>-30.966666666666665</v>
      </c>
    </row>
    <row r="396" spans="1:5">
      <c r="A396" s="1" t="str">
        <f>FossilMiddens!A109</f>
        <v>SAJQ85R(base)</v>
      </c>
      <c r="B396" s="1" t="s">
        <v>161</v>
      </c>
      <c r="C396" t="str">
        <f t="shared" si="6"/>
        <v xml:space="preserve">SAJQ85R(base) Leporillus sp.  </v>
      </c>
      <c r="D396" s="5">
        <f>FossilMiddens!H109</f>
        <v>139.33333333333334</v>
      </c>
      <c r="E396" s="5">
        <f>FossilMiddens!I109</f>
        <v>-30.966666666666665</v>
      </c>
    </row>
    <row r="397" spans="1:5">
      <c r="A397" s="1" t="str">
        <f>FossilMiddens!A110</f>
        <v>SAJQ85R(base)</v>
      </c>
      <c r="B397" s="1" t="s">
        <v>161</v>
      </c>
      <c r="C397" t="str">
        <f t="shared" si="6"/>
        <v xml:space="preserve">SAJQ85R(base) Leporillus sp.  </v>
      </c>
      <c r="D397" s="5">
        <f>FossilMiddens!H110</f>
        <v>139.33333333333334</v>
      </c>
      <c r="E397" s="5">
        <f>FossilMiddens!I110</f>
        <v>-30.966666666666665</v>
      </c>
    </row>
    <row r="398" spans="1:5">
      <c r="A398" s="1" t="str">
        <f>FossilMiddens!A111</f>
        <v>SAJQ89</v>
      </c>
      <c r="B398" s="1" t="s">
        <v>161</v>
      </c>
      <c r="C398" t="str">
        <f t="shared" si="6"/>
        <v xml:space="preserve">SAJQ89 Leporillus sp.  </v>
      </c>
      <c r="D398" s="5">
        <f>FossilMiddens!H111</f>
        <v>139.33333333333334</v>
      </c>
      <c r="E398" s="5">
        <f>FossilMiddens!I111</f>
        <v>-30.966666666666665</v>
      </c>
    </row>
    <row r="399" spans="1:5">
      <c r="A399" s="1" t="str">
        <f>FossilMiddens!A83</f>
        <v>SAJQ/79i</v>
      </c>
      <c r="B399" s="1" t="s">
        <v>161</v>
      </c>
      <c r="C399" t="str">
        <f t="shared" si="6"/>
        <v xml:space="preserve">SAJQ/79i Leporillus sp.  </v>
      </c>
      <c r="D399" s="5">
        <f>FossilMiddens!H83</f>
        <v>139.33333333333334</v>
      </c>
      <c r="E399" s="5">
        <f>FossilMiddens!I83</f>
        <v>-30.333333333333332</v>
      </c>
    </row>
    <row r="400" spans="1:5">
      <c r="A400" s="1" t="str">
        <f>FossilMiddens!A84</f>
        <v>SAJQ/79ii</v>
      </c>
      <c r="B400" s="1" t="s">
        <v>161</v>
      </c>
      <c r="C400" t="str">
        <f t="shared" si="6"/>
        <v xml:space="preserve">SAJQ/79ii Leporillus sp.  </v>
      </c>
      <c r="D400" s="5">
        <f>FossilMiddens!H84</f>
        <v>139.33333333333334</v>
      </c>
      <c r="E400" s="5">
        <f>FossilMiddens!I84</f>
        <v>-30.333333333333332</v>
      </c>
    </row>
    <row r="401" spans="1:5">
      <c r="A401" s="1" t="str">
        <f>FossilMiddens!A85</f>
        <v>SAJQ/79ii</v>
      </c>
      <c r="B401" s="1" t="s">
        <v>161</v>
      </c>
      <c r="C401" t="str">
        <f t="shared" si="6"/>
        <v xml:space="preserve">SAJQ/79ii Leporillus sp.  </v>
      </c>
      <c r="D401" s="5">
        <f>FossilMiddens!H85</f>
        <v>139.33333333333334</v>
      </c>
      <c r="E401" s="5">
        <f>FossilMiddens!I85</f>
        <v>-30.333333333333332</v>
      </c>
    </row>
    <row r="402" spans="1:5">
      <c r="A402" s="1" t="str">
        <f>FossilMiddens!A86</f>
        <v>SAJQ/85Li</v>
      </c>
      <c r="B402" s="1" t="s">
        <v>161</v>
      </c>
      <c r="C402" t="str">
        <f t="shared" si="6"/>
        <v xml:space="preserve">SAJQ/85Li Leporillus sp.  </v>
      </c>
      <c r="D402" s="5">
        <f>FossilMiddens!H86</f>
        <v>139.33333333333334</v>
      </c>
      <c r="E402" s="5">
        <f>FossilMiddens!I86</f>
        <v>-30.333333333333332</v>
      </c>
    </row>
    <row r="403" spans="1:5">
      <c r="A403" s="1" t="str">
        <f>FossilMiddens!A87</f>
        <v>SAJQ/85Lii</v>
      </c>
      <c r="B403" s="1" t="s">
        <v>161</v>
      </c>
      <c r="C403" t="str">
        <f t="shared" si="6"/>
        <v xml:space="preserve">SAJQ/85Lii Leporillus sp.  </v>
      </c>
      <c r="D403" s="5">
        <f>FossilMiddens!H87</f>
        <v>139.33333333333334</v>
      </c>
      <c r="E403" s="5">
        <f>FossilMiddens!I87</f>
        <v>-30.333333333333332</v>
      </c>
    </row>
    <row r="404" spans="1:5">
      <c r="A404" s="1" t="str">
        <f>FossilMiddens!A88</f>
        <v>SAJQ/85Rii</v>
      </c>
      <c r="B404" s="1" t="s">
        <v>161</v>
      </c>
      <c r="C404" t="str">
        <f t="shared" si="6"/>
        <v xml:space="preserve">SAJQ/85Rii Leporillus sp.  </v>
      </c>
      <c r="D404" s="5">
        <f>FossilMiddens!H88</f>
        <v>139.33333333333334</v>
      </c>
      <c r="E404" s="5">
        <f>FossilMiddens!I88</f>
        <v>-30.333333333333332</v>
      </c>
    </row>
    <row r="405" spans="1:5">
      <c r="A405" s="1" t="str">
        <f>FossilMiddens!A89</f>
        <v>SAJQ/85Rii</v>
      </c>
      <c r="B405" s="1" t="s">
        <v>161</v>
      </c>
      <c r="C405" t="str">
        <f t="shared" si="6"/>
        <v xml:space="preserve">SAJQ/85Rii Leporillus sp.  </v>
      </c>
      <c r="D405" s="5">
        <f>FossilMiddens!H89</f>
        <v>139.33333333333334</v>
      </c>
      <c r="E405" s="5">
        <f>FossilMiddens!I89</f>
        <v>-30.333333333333332</v>
      </c>
    </row>
    <row r="406" spans="1:5">
      <c r="A406" s="1" t="str">
        <f>FossilMiddens!A90</f>
        <v>SAJQ76</v>
      </c>
      <c r="B406" s="1" t="s">
        <v>161</v>
      </c>
      <c r="C406" t="str">
        <f t="shared" si="6"/>
        <v xml:space="preserve">SAJQ76 Leporillus sp.  </v>
      </c>
      <c r="D406" s="5">
        <f>FossilMiddens!H90</f>
        <v>139.33333333333334</v>
      </c>
      <c r="E406" s="5">
        <f>FossilMiddens!I90</f>
        <v>-30.333333333333332</v>
      </c>
    </row>
    <row r="407" spans="1:5">
      <c r="A407" s="1" t="str">
        <f>FossilMiddens!A91</f>
        <v>SAJQ77</v>
      </c>
      <c r="B407" s="1" t="s">
        <v>161</v>
      </c>
      <c r="C407" t="str">
        <f t="shared" si="6"/>
        <v xml:space="preserve">SAJQ77 Leporillus sp.  </v>
      </c>
      <c r="D407" s="5">
        <f>FossilMiddens!H91</f>
        <v>139.33333333333334</v>
      </c>
      <c r="E407" s="5">
        <f>FossilMiddens!I91</f>
        <v>-30.333333333333332</v>
      </c>
    </row>
    <row r="408" spans="1:5">
      <c r="A408" s="1" t="str">
        <f>FossilMiddens!A92</f>
        <v>SAJQ78</v>
      </c>
      <c r="B408" s="1" t="s">
        <v>161</v>
      </c>
      <c r="C408" t="str">
        <f t="shared" si="6"/>
        <v xml:space="preserve">SAJQ78 Leporillus sp.  </v>
      </c>
      <c r="D408" s="5">
        <f>FossilMiddens!H92</f>
        <v>139.33333333333334</v>
      </c>
      <c r="E408" s="5">
        <f>FossilMiddens!I92</f>
        <v>-30.333333333333332</v>
      </c>
    </row>
    <row r="409" spans="1:5">
      <c r="A409" s="1" t="str">
        <f>FossilMiddens!A93</f>
        <v>SAJQ79</v>
      </c>
      <c r="B409" s="1" t="s">
        <v>161</v>
      </c>
      <c r="C409" t="str">
        <f t="shared" si="6"/>
        <v xml:space="preserve">SAJQ79 Leporillus sp.  </v>
      </c>
      <c r="D409" s="5">
        <f>FossilMiddens!H93</f>
        <v>139.33333333333334</v>
      </c>
      <c r="E409" s="5">
        <f>FossilMiddens!I93</f>
        <v>-30.333333333333332</v>
      </c>
    </row>
    <row r="410" spans="1:5">
      <c r="A410" s="1" t="str">
        <f>FossilMiddens!A94</f>
        <v>SAJQ91</v>
      </c>
      <c r="B410" s="1" t="s">
        <v>161</v>
      </c>
      <c r="C410" t="str">
        <f t="shared" si="6"/>
        <v xml:space="preserve">SAJQ91 Leporillus sp.  </v>
      </c>
      <c r="D410" s="5">
        <f>FossilMiddens!H94</f>
        <v>139.33333333333334</v>
      </c>
      <c r="E410" s="5">
        <f>FossilMiddens!I94</f>
        <v>-30.333333333333332</v>
      </c>
    </row>
    <row r="411" spans="1:5">
      <c r="A411" s="1" t="str">
        <f>FossilMiddens!A95</f>
        <v>SAJQ92</v>
      </c>
      <c r="B411" s="1" t="s">
        <v>161</v>
      </c>
      <c r="C411" t="str">
        <f t="shared" si="6"/>
        <v xml:space="preserve">SAJQ92 Leporillus sp.  </v>
      </c>
      <c r="D411" s="5">
        <f>FossilMiddens!H95</f>
        <v>139.33333333333334</v>
      </c>
      <c r="E411" s="5">
        <f>FossilMiddens!I95</f>
        <v>-30.333333333333332</v>
      </c>
    </row>
    <row r="412" spans="1:5">
      <c r="A412" s="1">
        <v>12694</v>
      </c>
      <c r="B412" s="1" t="s">
        <v>161</v>
      </c>
      <c r="C412" t="str">
        <f t="shared" si="6"/>
        <v xml:space="preserve">12694 Leporillus sp.  </v>
      </c>
      <c r="D412" s="5">
        <v>140.166662</v>
      </c>
      <c r="E412" s="5">
        <v>-32.050001999999999</v>
      </c>
    </row>
    <row r="413" spans="1:5">
      <c r="A413" s="1">
        <v>6603</v>
      </c>
      <c r="B413" s="1" t="s">
        <v>161</v>
      </c>
      <c r="C413" t="str">
        <f t="shared" si="6"/>
        <v xml:space="preserve">6603 Leporillus sp.  </v>
      </c>
      <c r="D413" s="5">
        <v>140.17833400000001</v>
      </c>
      <c r="E413" s="5">
        <v>-32.719478000000002</v>
      </c>
    </row>
    <row r="414" spans="1:5">
      <c r="A414" s="1">
        <v>12642</v>
      </c>
      <c r="B414" s="1" t="s">
        <v>161</v>
      </c>
      <c r="C414" t="str">
        <f t="shared" si="6"/>
        <v xml:space="preserve">12642 Leporillus sp.  </v>
      </c>
      <c r="D414" s="5">
        <v>140.19999899999999</v>
      </c>
      <c r="E414" s="5">
        <v>-32.716669000000003</v>
      </c>
    </row>
    <row r="415" spans="1:5">
      <c r="A415" s="1">
        <v>12729</v>
      </c>
      <c r="B415" s="1" t="s">
        <v>161</v>
      </c>
      <c r="C415" t="str">
        <f t="shared" si="6"/>
        <v xml:space="preserve">12729 Leporillus sp.  </v>
      </c>
      <c r="D415" s="5">
        <v>140.383332</v>
      </c>
      <c r="E415" s="5">
        <v>-34.225009</v>
      </c>
    </row>
    <row r="416" spans="1:5">
      <c r="A416" s="1">
        <v>12567</v>
      </c>
      <c r="B416" s="1" t="s">
        <v>161</v>
      </c>
      <c r="C416" t="str">
        <f t="shared" si="6"/>
        <v xml:space="preserve">12567 Leporillus sp.  </v>
      </c>
      <c r="D416" s="5">
        <v>140.783331</v>
      </c>
      <c r="E416" s="5">
        <v>-37.833334000000001</v>
      </c>
    </row>
    <row r="417" spans="1:5">
      <c r="A417" s="1">
        <v>12710</v>
      </c>
      <c r="B417" s="1" t="s">
        <v>161</v>
      </c>
      <c r="C417" t="str">
        <f t="shared" si="6"/>
        <v xml:space="preserve">12710 Leporillus sp.  </v>
      </c>
      <c r="D417" s="5">
        <v>140.916663</v>
      </c>
      <c r="E417" s="5">
        <v>-32.450007999999997</v>
      </c>
    </row>
    <row r="418" spans="1:5">
      <c r="A418" s="1">
        <v>12579</v>
      </c>
      <c r="B418" s="1" t="s">
        <v>161</v>
      </c>
      <c r="C418" t="str">
        <f t="shared" si="6"/>
        <v xml:space="preserve">12579 Leporillus sp.  </v>
      </c>
      <c r="D418" s="5">
        <v>141.49999</v>
      </c>
      <c r="E418" s="5">
        <v>-31.183336000000001</v>
      </c>
    </row>
    <row r="419" spans="1:5">
      <c r="A419" s="1">
        <v>12582</v>
      </c>
      <c r="B419" s="1" t="s">
        <v>161</v>
      </c>
      <c r="C419" t="str">
        <f t="shared" si="6"/>
        <v xml:space="preserve">12582 Leporillus sp.  </v>
      </c>
      <c r="D419" s="5">
        <v>141.766659</v>
      </c>
      <c r="E419" s="5">
        <v>-29.083341000000001</v>
      </c>
    </row>
    <row r="420" spans="1:5">
      <c r="A420" s="1">
        <v>12583</v>
      </c>
      <c r="B420" s="1" t="s">
        <v>161</v>
      </c>
      <c r="C420" t="str">
        <f t="shared" si="6"/>
        <v xml:space="preserve">12583 Leporillus sp.  </v>
      </c>
      <c r="D420" s="5">
        <v>141.88332700000001</v>
      </c>
      <c r="E420" s="5">
        <v>-29.083337</v>
      </c>
    </row>
    <row r="421" spans="1:5">
      <c r="A421" s="1">
        <v>12584</v>
      </c>
      <c r="B421" s="1" t="s">
        <v>161</v>
      </c>
      <c r="C421" t="str">
        <f t="shared" si="6"/>
        <v xml:space="preserve">12584 Leporillus sp.  </v>
      </c>
      <c r="D421" s="5">
        <v>141.94999100000001</v>
      </c>
      <c r="E421" s="5">
        <v>-29.033332999999999</v>
      </c>
    </row>
    <row r="422" spans="1:5">
      <c r="A422" s="1">
        <v>12577</v>
      </c>
      <c r="B422" s="1" t="s">
        <v>161</v>
      </c>
      <c r="C422" t="str">
        <f t="shared" si="6"/>
        <v xml:space="preserve">12577 Leporillus sp.  </v>
      </c>
      <c r="D422" s="5">
        <v>142.333324</v>
      </c>
      <c r="E422" s="5">
        <v>-32.666671999999998</v>
      </c>
    </row>
    <row r="423" spans="1:5">
      <c r="A423" s="1" t="str">
        <f>FossilMiddens!A113</f>
        <v>GAP RANGE E (GHE) LOWER RIGHT</v>
      </c>
      <c r="B423" s="1" t="s">
        <v>161</v>
      </c>
      <c r="C423" t="str">
        <f t="shared" si="6"/>
        <v xml:space="preserve">GAP RANGE E (GHE) LOWER RIGHT Leporillus sp.  </v>
      </c>
      <c r="D423" s="5">
        <f>FossilMiddens!H113</f>
        <v>142.56666666666666</v>
      </c>
      <c r="E423" s="5">
        <f>FossilMiddens!I113</f>
        <v>-31.066666666666666</v>
      </c>
    </row>
    <row r="424" spans="1:5">
      <c r="A424" s="1" t="str">
        <f>FossilMiddens!A114</f>
        <v>GH E1</v>
      </c>
      <c r="B424" s="1" t="s">
        <v>161</v>
      </c>
      <c r="C424" t="str">
        <f t="shared" si="6"/>
        <v xml:space="preserve">GH E1 Leporillus sp.  </v>
      </c>
      <c r="D424" s="5">
        <f>FossilMiddens!H114</f>
        <v>142.56666666666666</v>
      </c>
      <c r="E424" s="5">
        <f>FossilMiddens!I114</f>
        <v>-31.066666666666666</v>
      </c>
    </row>
    <row r="425" spans="1:5">
      <c r="A425" s="1" t="str">
        <f>FossilMiddens!A115</f>
        <v>GH E2</v>
      </c>
      <c r="B425" s="1" t="s">
        <v>161</v>
      </c>
      <c r="C425" t="str">
        <f t="shared" si="6"/>
        <v xml:space="preserve">GH E2 Leporillus sp.  </v>
      </c>
      <c r="D425" s="5">
        <f>FossilMiddens!H115</f>
        <v>142.56666666666666</v>
      </c>
      <c r="E425" s="5">
        <f>FossilMiddens!I115</f>
        <v>-31.066666666666666</v>
      </c>
    </row>
    <row r="426" spans="1:5">
      <c r="A426" s="1" t="str">
        <f>FossilMiddens!A116</f>
        <v>GH E3 (I)</v>
      </c>
      <c r="B426" s="1" t="s">
        <v>161</v>
      </c>
      <c r="C426" t="str">
        <f t="shared" si="6"/>
        <v xml:space="preserve">GH E3 (I) Leporillus sp.  </v>
      </c>
      <c r="D426" s="5">
        <f>FossilMiddens!H116</f>
        <v>142.56666666666666</v>
      </c>
      <c r="E426" s="5">
        <f>FossilMiddens!I116</f>
        <v>-31.066666666666666</v>
      </c>
    </row>
    <row r="427" spans="1:5">
      <c r="A427" s="1" t="str">
        <f>FossilMiddens!A117</f>
        <v>GH E3 (II)</v>
      </c>
      <c r="B427" s="1" t="s">
        <v>161</v>
      </c>
      <c r="C427" t="str">
        <f t="shared" si="6"/>
        <v xml:space="preserve">GH E3 (II) Leporillus sp.  </v>
      </c>
      <c r="D427" s="5">
        <f>FossilMiddens!H117</f>
        <v>142.56666666666666</v>
      </c>
      <c r="E427" s="5">
        <f>FossilMiddens!I117</f>
        <v>-31.066666666666666</v>
      </c>
    </row>
    <row r="428" spans="1:5">
      <c r="A428" s="1" t="str">
        <f>FossilMiddens!A118</f>
        <v>GH E3 (III)</v>
      </c>
      <c r="B428" s="1" t="s">
        <v>161</v>
      </c>
      <c r="C428" t="str">
        <f t="shared" si="6"/>
        <v xml:space="preserve">GH E3 (III) Leporillus sp.  </v>
      </c>
      <c r="D428" s="5">
        <f>FossilMiddens!H118</f>
        <v>142.56666666666666</v>
      </c>
      <c r="E428" s="5">
        <f>FossilMiddens!I118</f>
        <v>-31.066666666666666</v>
      </c>
    </row>
    <row r="429" spans="1:5">
      <c r="A429" s="1" t="str">
        <f>FossilMiddens!A119</f>
        <v>GH E4</v>
      </c>
      <c r="B429" s="1" t="s">
        <v>161</v>
      </c>
      <c r="C429" t="str">
        <f t="shared" si="6"/>
        <v xml:space="preserve">GH E4 Leporillus sp.  </v>
      </c>
      <c r="D429" s="5">
        <f>FossilMiddens!H119</f>
        <v>142.56666666666666</v>
      </c>
      <c r="E429" s="5">
        <f>FossilMiddens!I119</f>
        <v>-31.066666666666666</v>
      </c>
    </row>
    <row r="430" spans="1:5">
      <c r="A430" s="1" t="str">
        <f>FossilMiddens!A120</f>
        <v>GH E5 (I)</v>
      </c>
      <c r="B430" s="1" t="s">
        <v>161</v>
      </c>
      <c r="C430" t="str">
        <f t="shared" si="6"/>
        <v xml:space="preserve">GH E5 (I) Leporillus sp.  </v>
      </c>
      <c r="D430" s="5">
        <f>FossilMiddens!H120</f>
        <v>142.56666666666666</v>
      </c>
      <c r="E430" s="5">
        <f>FossilMiddens!I120</f>
        <v>-31.066666666666666</v>
      </c>
    </row>
    <row r="431" spans="1:5">
      <c r="A431" s="1" t="str">
        <f>FossilMiddens!A121</f>
        <v>GH E5 (II) lower left</v>
      </c>
      <c r="B431" s="1" t="s">
        <v>161</v>
      </c>
      <c r="C431" t="str">
        <f t="shared" si="6"/>
        <v xml:space="preserve">GH E5 (II) lower left Leporillus sp.  </v>
      </c>
      <c r="D431" s="5">
        <f>FossilMiddens!H121</f>
        <v>142.56666666666666</v>
      </c>
      <c r="E431" s="5">
        <f>FossilMiddens!I121</f>
        <v>-31.066666666666666</v>
      </c>
    </row>
    <row r="432" spans="1:5">
      <c r="A432" s="1" t="str">
        <f>FossilMiddens!A122</f>
        <v>GH3 (I)</v>
      </c>
      <c r="B432" s="1" t="s">
        <v>161</v>
      </c>
      <c r="C432" t="str">
        <f t="shared" si="6"/>
        <v xml:space="preserve">GH3 (I) Leporillus sp.  </v>
      </c>
      <c r="D432" s="5">
        <f>FossilMiddens!H122</f>
        <v>142.56666666666666</v>
      </c>
      <c r="E432" s="5">
        <f>FossilMiddens!I122</f>
        <v>-31.066666666666666</v>
      </c>
    </row>
    <row r="433" spans="1:5">
      <c r="A433" s="1" t="str">
        <f>FossilMiddens!A123</f>
        <v>GH3 (ii)</v>
      </c>
      <c r="B433" s="1" t="s">
        <v>161</v>
      </c>
      <c r="C433" t="str">
        <f t="shared" si="6"/>
        <v xml:space="preserve">GH3 (ii) Leporillus sp.  </v>
      </c>
      <c r="D433" s="5">
        <f>FossilMiddens!H123</f>
        <v>142.56666666666666</v>
      </c>
      <c r="E433" s="5">
        <f>FossilMiddens!I123</f>
        <v>-31.066666666666666</v>
      </c>
    </row>
    <row r="434" spans="1:5">
      <c r="A434" s="1" t="str">
        <f>FossilMiddens!A112</f>
        <v>GH4 (top)</v>
      </c>
      <c r="B434" s="1" t="s">
        <v>161</v>
      </c>
      <c r="C434" t="str">
        <f t="shared" si="6"/>
        <v xml:space="preserve">GH4 (top) Leporillus sp.  </v>
      </c>
      <c r="D434" s="5">
        <f>FossilMiddens!H112</f>
        <v>142.56666666666666</v>
      </c>
      <c r="E434" s="5">
        <f>FossilMiddens!I112</f>
        <v>-31.066666666666666</v>
      </c>
    </row>
    <row r="435" spans="1:5">
      <c r="A435" s="1" t="str">
        <f>FossilMiddens!A124</f>
        <v>GH6 (base)</v>
      </c>
      <c r="B435" s="1" t="s">
        <v>161</v>
      </c>
      <c r="C435" t="str">
        <f t="shared" si="6"/>
        <v xml:space="preserve">GH6 (base) Leporillus sp.  </v>
      </c>
      <c r="D435" s="5">
        <f>FossilMiddens!H124</f>
        <v>142.56666666666666</v>
      </c>
      <c r="E435" s="5">
        <f>FossilMiddens!I124</f>
        <v>-31.066666666666666</v>
      </c>
    </row>
    <row r="436" spans="1:5">
      <c r="A436" s="1" t="str">
        <f>FossilMiddens!A125</f>
        <v>GH6 (top)</v>
      </c>
      <c r="B436" s="1" t="s">
        <v>161</v>
      </c>
      <c r="C436" t="str">
        <f t="shared" si="6"/>
        <v xml:space="preserve">GH6 (top) Leporillus sp.  </v>
      </c>
      <c r="D436" s="5">
        <f>FossilMiddens!H125</f>
        <v>142.56666666666666</v>
      </c>
      <c r="E436" s="5">
        <f>FossilMiddens!I125</f>
        <v>-31.066666666666666</v>
      </c>
    </row>
    <row r="437" spans="1:5">
      <c r="A437" s="1" t="str">
        <f>FossilMiddens!A67</f>
        <v>ARK1</v>
      </c>
      <c r="B437" s="1" t="s">
        <v>161</v>
      </c>
      <c r="C437" t="str">
        <f t="shared" si="6"/>
        <v xml:space="preserve">ARK1 Leporillus sp.  </v>
      </c>
      <c r="D437" s="5">
        <f>FossilMiddens!H67</f>
        <v>142.56666666666666</v>
      </c>
      <c r="E437" s="5">
        <f>FossilMiddens!I67</f>
        <v>-30.066666666666666</v>
      </c>
    </row>
    <row r="438" spans="1:5">
      <c r="A438" s="1" t="str">
        <f>FossilMiddens!A68</f>
        <v>ARK1</v>
      </c>
      <c r="B438" s="1" t="s">
        <v>161</v>
      </c>
      <c r="C438" t="str">
        <f t="shared" si="6"/>
        <v xml:space="preserve">ARK1 Leporillus sp.  </v>
      </c>
      <c r="D438" s="5">
        <f>FossilMiddens!H68</f>
        <v>142.56666666666666</v>
      </c>
      <c r="E438" s="5">
        <f>FossilMiddens!I68</f>
        <v>-30.066666666666666</v>
      </c>
    </row>
    <row r="439" spans="1:5">
      <c r="A439" s="1" t="str">
        <f>FossilMiddens!A66</f>
        <v>HH1 base</v>
      </c>
      <c r="B439" s="1" t="s">
        <v>161</v>
      </c>
      <c r="C439" t="str">
        <f t="shared" si="6"/>
        <v xml:space="preserve">HH1 base Leporillus sp.  </v>
      </c>
      <c r="D439" s="5">
        <f>FossilMiddens!H66</f>
        <v>142.56666666666666</v>
      </c>
      <c r="E439" s="5">
        <f>FossilMiddens!I66</f>
        <v>-30.066666666666666</v>
      </c>
    </row>
    <row r="440" spans="1:5">
      <c r="A440" s="1" t="str">
        <f>FossilMiddens!A69</f>
        <v>HH1 top</v>
      </c>
      <c r="B440" s="1" t="s">
        <v>161</v>
      </c>
      <c r="C440" t="str">
        <f t="shared" si="6"/>
        <v xml:space="preserve">HH1 top Leporillus sp.  </v>
      </c>
      <c r="D440" s="5">
        <f>FossilMiddens!H69</f>
        <v>142.56666666666666</v>
      </c>
      <c r="E440" s="5">
        <f>FossilMiddens!I69</f>
        <v>-30.066666666666666</v>
      </c>
    </row>
    <row r="441" spans="1:5">
      <c r="A441" s="1" t="str">
        <f>FossilMiddens!A70</f>
        <v>NWCK 1</v>
      </c>
      <c r="B441" s="1" t="s">
        <v>161</v>
      </c>
      <c r="C441" t="str">
        <f t="shared" si="6"/>
        <v xml:space="preserve">NWCK 1 Leporillus sp.  </v>
      </c>
      <c r="D441" s="5">
        <f>FossilMiddens!H70</f>
        <v>142.56666666666666</v>
      </c>
      <c r="E441" s="5">
        <f>FossilMiddens!I70</f>
        <v>-30.066666666666666</v>
      </c>
    </row>
    <row r="442" spans="1:5">
      <c r="A442" s="1" t="str">
        <f>FossilMiddens!A71</f>
        <v>NWCK 2</v>
      </c>
      <c r="B442" s="1" t="s">
        <v>161</v>
      </c>
      <c r="C442" t="str">
        <f t="shared" si="6"/>
        <v xml:space="preserve">NWCK 2 Leporillus sp.  </v>
      </c>
      <c r="D442" s="5">
        <f>FossilMiddens!H71</f>
        <v>142.56666666666666</v>
      </c>
      <c r="E442" s="5">
        <f>FossilMiddens!I71</f>
        <v>-30.066666666666666</v>
      </c>
    </row>
    <row r="443" spans="1:5">
      <c r="A443" s="1" t="str">
        <f>FossilMiddens!A72</f>
        <v>OT1</v>
      </c>
      <c r="B443" s="1" t="s">
        <v>161</v>
      </c>
      <c r="C443" t="str">
        <f t="shared" si="6"/>
        <v xml:space="preserve">OT1 Leporillus sp.  </v>
      </c>
      <c r="D443" s="5">
        <f>FossilMiddens!H72</f>
        <v>142.56666666666666</v>
      </c>
      <c r="E443" s="5">
        <f>FossilMiddens!I72</f>
        <v>-30.066666666666666</v>
      </c>
    </row>
    <row r="444" spans="1:5">
      <c r="A444" s="1" t="str">
        <f>FossilMiddens!A73</f>
        <v>OT1</v>
      </c>
      <c r="B444" s="1" t="s">
        <v>161</v>
      </c>
      <c r="C444" t="str">
        <f t="shared" si="6"/>
        <v xml:space="preserve">OT1 Leporillus sp.  </v>
      </c>
      <c r="D444" s="5">
        <f>FossilMiddens!H73</f>
        <v>142.56666666666666</v>
      </c>
      <c r="E444" s="5">
        <f>FossilMiddens!I73</f>
        <v>-30.066666666666666</v>
      </c>
    </row>
    <row r="445" spans="1:5">
      <c r="A445" s="1" t="str">
        <f>FossilMiddens!A74</f>
        <v>RC 1</v>
      </c>
      <c r="B445" s="1" t="s">
        <v>161</v>
      </c>
      <c r="C445" t="str">
        <f t="shared" si="6"/>
        <v xml:space="preserve">RC 1 Leporillus sp.  </v>
      </c>
      <c r="D445" s="5">
        <f>FossilMiddens!H74</f>
        <v>142.56666666666666</v>
      </c>
      <c r="E445" s="5">
        <f>FossilMiddens!I74</f>
        <v>-30.066666666666666</v>
      </c>
    </row>
    <row r="446" spans="1:5">
      <c r="A446" s="1" t="str">
        <f>FossilMiddens!A75</f>
        <v>RC 2</v>
      </c>
      <c r="B446" s="1" t="s">
        <v>161</v>
      </c>
      <c r="C446" t="str">
        <f t="shared" si="6"/>
        <v xml:space="preserve">RC 2 Leporillus sp.  </v>
      </c>
      <c r="D446" s="5">
        <f>FossilMiddens!H75</f>
        <v>142.56666666666666</v>
      </c>
      <c r="E446" s="5">
        <f>FossilMiddens!I75</f>
        <v>-30.066666666666666</v>
      </c>
    </row>
    <row r="447" spans="1:5">
      <c r="A447" s="1" t="str">
        <f>FossilMiddens!A76</f>
        <v>RC3 base</v>
      </c>
      <c r="B447" s="1" t="s">
        <v>161</v>
      </c>
      <c r="C447" t="str">
        <f t="shared" si="6"/>
        <v xml:space="preserve">RC3 base Leporillus sp.  </v>
      </c>
      <c r="D447" s="5">
        <f>FossilMiddens!H76</f>
        <v>142.56666666666666</v>
      </c>
      <c r="E447" s="5">
        <f>FossilMiddens!I76</f>
        <v>-30.066666666666666</v>
      </c>
    </row>
    <row r="448" spans="1:5">
      <c r="A448" s="1" t="str">
        <f>FossilMiddens!A77</f>
        <v>WF</v>
      </c>
      <c r="B448" s="1" t="s">
        <v>161</v>
      </c>
      <c r="C448" t="str">
        <f t="shared" si="6"/>
        <v xml:space="preserve">WF Leporillus sp.  </v>
      </c>
      <c r="D448" s="5">
        <f>FossilMiddens!H77</f>
        <v>142.56666666666666</v>
      </c>
      <c r="E448" s="5">
        <f>FossilMiddens!I77</f>
        <v>-30.066666666666666</v>
      </c>
    </row>
    <row r="449" spans="1:5">
      <c r="A449" s="1" t="str">
        <f>FossilMiddens!A156</f>
        <v>GH1 (base)</v>
      </c>
      <c r="B449" s="1" t="s">
        <v>161</v>
      </c>
      <c r="C449" t="str">
        <f t="shared" si="6"/>
        <v xml:space="preserve">GH1 (base) Leporillus sp.  </v>
      </c>
      <c r="D449" s="5">
        <f>FossilMiddens!H156</f>
        <v>142.6</v>
      </c>
      <c r="E449" s="5">
        <f>FossilMiddens!I156</f>
        <v>-31.166666666666668</v>
      </c>
    </row>
    <row r="450" spans="1:5">
      <c r="A450" s="1" t="str">
        <f>FossilMiddens!A155</f>
        <v>GH1 (top)</v>
      </c>
      <c r="B450" s="1" t="s">
        <v>161</v>
      </c>
      <c r="C450" t="str">
        <f t="shared" si="6"/>
        <v xml:space="preserve">GH1 (top) Leporillus sp.  </v>
      </c>
      <c r="D450" s="5">
        <f>FossilMiddens!H155</f>
        <v>142.6</v>
      </c>
      <c r="E450" s="5">
        <f>FossilMiddens!I155</f>
        <v>-31.166666666666668</v>
      </c>
    </row>
    <row r="451" spans="1:5">
      <c r="A451" s="1" t="str">
        <f>FossilMiddens!A126</f>
        <v>GH2</v>
      </c>
      <c r="B451" s="1" t="s">
        <v>161</v>
      </c>
      <c r="C451" t="str">
        <f t="shared" ref="C451:C460" si="7">A451&amp;" "&amp;B451&amp;" "&amp;F451&amp;" "&amp;G451</f>
        <v xml:space="preserve">GH2 Leporillus sp.  </v>
      </c>
      <c r="D451" s="5">
        <f>FossilMiddens!H126</f>
        <v>142.6</v>
      </c>
      <c r="E451" s="5">
        <f>FossilMiddens!I126</f>
        <v>-31.166666666666668</v>
      </c>
    </row>
    <row r="452" spans="1:5">
      <c r="A452" s="1" t="str">
        <f>FossilMiddens!A154</f>
        <v>GH4 (base)</v>
      </c>
      <c r="B452" s="1" t="s">
        <v>161</v>
      </c>
      <c r="C452" t="str">
        <f t="shared" si="7"/>
        <v xml:space="preserve">GH4 (base) Leporillus sp.  </v>
      </c>
      <c r="D452" s="5">
        <f>FossilMiddens!H154</f>
        <v>142.6</v>
      </c>
      <c r="E452" s="5">
        <f>FossilMiddens!I154</f>
        <v>-31.166666666666668</v>
      </c>
    </row>
    <row r="453" spans="1:5">
      <c r="A453" s="1" t="str">
        <f>FossilMiddens!A127</f>
        <v>GH5 (I)</v>
      </c>
      <c r="B453" s="1" t="s">
        <v>161</v>
      </c>
      <c r="C453" t="str">
        <f t="shared" si="7"/>
        <v xml:space="preserve">GH5 (I) Leporillus sp.  </v>
      </c>
      <c r="D453" s="5">
        <f>FossilMiddens!H127</f>
        <v>142.6</v>
      </c>
      <c r="E453" s="5">
        <f>FossilMiddens!I127</f>
        <v>-31.166666666666668</v>
      </c>
    </row>
    <row r="454" spans="1:5">
      <c r="A454" s="1" t="str">
        <f>FossilMiddens!A153</f>
        <v>GH5 (II)</v>
      </c>
      <c r="B454" s="1" t="s">
        <v>161</v>
      </c>
      <c r="C454" t="str">
        <f t="shared" si="7"/>
        <v xml:space="preserve">GH5 (II) Leporillus sp.  </v>
      </c>
      <c r="D454" s="5">
        <f>FossilMiddens!H153</f>
        <v>142.6</v>
      </c>
      <c r="E454" s="5">
        <f>FossilMiddens!I153</f>
        <v>-31.166666666666668</v>
      </c>
    </row>
    <row r="455" spans="1:5">
      <c r="A455" s="1" t="str">
        <f>FossilMiddens!A128</f>
        <v>GH8 (front)</v>
      </c>
      <c r="B455" s="1" t="s">
        <v>161</v>
      </c>
      <c r="C455" t="str">
        <f t="shared" si="7"/>
        <v xml:space="preserve">GH8 (front) Leporillus sp.  </v>
      </c>
      <c r="D455" s="5">
        <f>FossilMiddens!H128</f>
        <v>142.6</v>
      </c>
      <c r="E455" s="5">
        <f>FossilMiddens!I128</f>
        <v>-31.166666666666668</v>
      </c>
    </row>
    <row r="456" spans="1:5">
      <c r="A456" s="1" t="str">
        <f>FossilMiddens!A130</f>
        <v>Green et al (1983)</v>
      </c>
      <c r="B456" s="1" t="s">
        <v>161</v>
      </c>
      <c r="C456" t="str">
        <f t="shared" si="7"/>
        <v xml:space="preserve">Green et al (1983) Leporillus sp.  </v>
      </c>
      <c r="D456" s="5">
        <f>FossilMiddens!H130</f>
        <v>142.6</v>
      </c>
      <c r="E456" s="5">
        <f>FossilMiddens!I130</f>
        <v>-31.166666666666668</v>
      </c>
    </row>
    <row r="457" spans="1:5">
      <c r="A457" s="1" t="str">
        <f>FossilMiddens!A129</f>
        <v>RC3 top</v>
      </c>
      <c r="B457" s="1" t="s">
        <v>161</v>
      </c>
      <c r="C457" t="str">
        <f t="shared" si="7"/>
        <v xml:space="preserve">RC3 top Leporillus sp.  </v>
      </c>
      <c r="D457" s="5">
        <f>FossilMiddens!H129</f>
        <v>142.6</v>
      </c>
      <c r="E457" s="5">
        <f>FossilMiddens!I129</f>
        <v>-31.166666666666668</v>
      </c>
    </row>
    <row r="458" spans="1:5">
      <c r="A458" s="1" t="str">
        <f>FossilMiddens!A97</f>
        <v>C7</v>
      </c>
      <c r="B458" s="1" t="s">
        <v>161</v>
      </c>
      <c r="C458" t="str">
        <f t="shared" si="7"/>
        <v xml:space="preserve">C7 Leporillus sp.  </v>
      </c>
      <c r="D458" s="5">
        <f>FossilMiddens!H97</f>
        <v>142.6</v>
      </c>
      <c r="E458" s="5">
        <f>FossilMiddens!I97</f>
        <v>-30.866666666666667</v>
      </c>
    </row>
    <row r="459" spans="1:5">
      <c r="A459" s="1" t="str">
        <f>FossilMiddens!A98</f>
        <v>C8 (front left)</v>
      </c>
      <c r="B459" s="1" t="s">
        <v>161</v>
      </c>
      <c r="C459" t="str">
        <f t="shared" si="7"/>
        <v xml:space="preserve">C8 (front left) Leporillus sp.  </v>
      </c>
      <c r="D459" s="5">
        <f>FossilMiddens!H98</f>
        <v>142.6</v>
      </c>
      <c r="E459" s="5">
        <f>FossilMiddens!I98</f>
        <v>-30.866666666666667</v>
      </c>
    </row>
    <row r="460" spans="1:5">
      <c r="A460" s="1">
        <v>12578</v>
      </c>
      <c r="B460" s="1" t="s">
        <v>161</v>
      </c>
      <c r="C460" t="str">
        <f t="shared" si="7"/>
        <v xml:space="preserve">12578 Leporillus sp.  </v>
      </c>
      <c r="D460" s="5">
        <v>142.69999899999999</v>
      </c>
      <c r="E460" s="5">
        <v>-31.116669999999999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GeoSciences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Pearson</dc:creator>
  <cp:keywords/>
  <dc:description/>
  <cp:lastModifiedBy>X</cp:lastModifiedBy>
  <cp:revision/>
  <dcterms:created xsi:type="dcterms:W3CDTF">2002-02-05T10:26:44Z</dcterms:created>
  <dcterms:modified xsi:type="dcterms:W3CDTF">2025-12-18T06:05:52Z</dcterms:modified>
  <cp:category/>
  <cp:contentStatus/>
</cp:coreProperties>
</file>